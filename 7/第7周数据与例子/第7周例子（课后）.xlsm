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课程\Excel\第7周数据与例子\"/>
    </mc:Choice>
  </mc:AlternateContent>
  <bookViews>
    <workbookView xWindow="0" yWindow="0" windowWidth="28800" windowHeight="12450" activeTab="7"/>
  </bookViews>
  <sheets>
    <sheet name="一元线性回归" sheetId="1" r:id="rId1"/>
    <sheet name="多元线性回归" sheetId="2" r:id="rId2"/>
    <sheet name="非线性回归" sheetId="3" r:id="rId3"/>
    <sheet name="移动平均法" sheetId="4" r:id="rId4"/>
    <sheet name="指数平滑" sheetId="5" r:id="rId5"/>
    <sheet name="季节变动" sheetId="6" r:id="rId6"/>
    <sheet name="马尔可夫链" sheetId="8" r:id="rId7"/>
    <sheet name="马尔可夫链(完成)" sheetId="7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8" l="1"/>
  <c r="C29" i="8"/>
  <c r="C28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3" i="8"/>
  <c r="E30" i="6"/>
  <c r="F30" i="6"/>
  <c r="G30" i="6"/>
  <c r="H30" i="6"/>
  <c r="I30" i="6"/>
  <c r="J30" i="6"/>
  <c r="K30" i="6"/>
  <c r="L30" i="6"/>
  <c r="M30" i="6"/>
  <c r="E31" i="6"/>
  <c r="F31" i="6"/>
  <c r="G31" i="6"/>
  <c r="H31" i="6"/>
  <c r="I31" i="6"/>
  <c r="J31" i="6"/>
  <c r="K31" i="6"/>
  <c r="L31" i="6"/>
  <c r="M31" i="6"/>
  <c r="E32" i="6"/>
  <c r="F32" i="6"/>
  <c r="G32" i="6"/>
  <c r="H32" i="6"/>
  <c r="I32" i="6"/>
  <c r="J32" i="6"/>
  <c r="K32" i="6"/>
  <c r="L32" i="6"/>
  <c r="M32" i="6"/>
  <c r="E33" i="6"/>
  <c r="F33" i="6"/>
  <c r="G33" i="6"/>
  <c r="H33" i="6"/>
  <c r="I33" i="6"/>
  <c r="J33" i="6"/>
  <c r="K33" i="6"/>
  <c r="L33" i="6"/>
  <c r="M33" i="6"/>
  <c r="E34" i="6"/>
  <c r="F34" i="6"/>
  <c r="G34" i="6"/>
  <c r="H34" i="6"/>
  <c r="I34" i="6"/>
  <c r="J34" i="6"/>
  <c r="K34" i="6"/>
  <c r="L34" i="6"/>
  <c r="M34" i="6"/>
  <c r="E35" i="6"/>
  <c r="F35" i="6"/>
  <c r="G35" i="6"/>
  <c r="H35" i="6"/>
  <c r="I35" i="6"/>
  <c r="J35" i="6"/>
  <c r="K35" i="6"/>
  <c r="L35" i="6"/>
  <c r="M35" i="6"/>
  <c r="E36" i="6"/>
  <c r="F36" i="6"/>
  <c r="G36" i="6"/>
  <c r="H36" i="6"/>
  <c r="I36" i="6"/>
  <c r="J36" i="6"/>
  <c r="K36" i="6"/>
  <c r="L36" i="6"/>
  <c r="M36" i="6"/>
  <c r="E37" i="6"/>
  <c r="F37" i="6"/>
  <c r="G37" i="6"/>
  <c r="H37" i="6"/>
  <c r="I37" i="6"/>
  <c r="J37" i="6"/>
  <c r="K37" i="6"/>
  <c r="L37" i="6"/>
  <c r="M37" i="6"/>
  <c r="E38" i="6"/>
  <c r="F38" i="6"/>
  <c r="G38" i="6"/>
  <c r="H38" i="6"/>
  <c r="I38" i="6"/>
  <c r="J38" i="6"/>
  <c r="K38" i="6"/>
  <c r="L38" i="6"/>
  <c r="M38" i="6"/>
  <c r="E39" i="6"/>
  <c r="F39" i="6"/>
  <c r="G39" i="6"/>
  <c r="H39" i="6"/>
  <c r="I39" i="6"/>
  <c r="J39" i="6"/>
  <c r="K39" i="6"/>
  <c r="L39" i="6"/>
  <c r="M39" i="6"/>
  <c r="E40" i="6"/>
  <c r="F40" i="6"/>
  <c r="G40" i="6"/>
  <c r="H40" i="6"/>
  <c r="I40" i="6"/>
  <c r="J40" i="6"/>
  <c r="K40" i="6"/>
  <c r="L40" i="6"/>
  <c r="M40" i="6"/>
  <c r="E41" i="6"/>
  <c r="F41" i="6"/>
  <c r="G41" i="6"/>
  <c r="H41" i="6"/>
  <c r="I41" i="6"/>
  <c r="J41" i="6"/>
  <c r="K41" i="6"/>
  <c r="L41" i="6"/>
  <c r="M41" i="6"/>
  <c r="E42" i="6"/>
  <c r="F42" i="6"/>
  <c r="G42" i="6"/>
  <c r="H42" i="6"/>
  <c r="I42" i="6"/>
  <c r="J42" i="6"/>
  <c r="K42" i="6"/>
  <c r="L42" i="6"/>
  <c r="M42" i="6"/>
  <c r="E43" i="6"/>
  <c r="F43" i="6"/>
  <c r="G43" i="6"/>
  <c r="H43" i="6"/>
  <c r="I43" i="6"/>
  <c r="J43" i="6"/>
  <c r="K43" i="6"/>
  <c r="L43" i="6"/>
  <c r="M43" i="6"/>
  <c r="E44" i="6"/>
  <c r="F44" i="6"/>
  <c r="G44" i="6"/>
  <c r="H44" i="6"/>
  <c r="I44" i="6"/>
  <c r="J44" i="6"/>
  <c r="K44" i="6"/>
  <c r="L44" i="6"/>
  <c r="M44" i="6"/>
  <c r="E45" i="6"/>
  <c r="F45" i="6"/>
  <c r="G45" i="6"/>
  <c r="H45" i="6"/>
  <c r="I45" i="6"/>
  <c r="J45" i="6"/>
  <c r="K45" i="6"/>
  <c r="L45" i="6"/>
  <c r="M45" i="6"/>
  <c r="E46" i="6"/>
  <c r="F46" i="6"/>
  <c r="G46" i="6"/>
  <c r="H46" i="6"/>
  <c r="I46" i="6"/>
  <c r="J46" i="6"/>
  <c r="K46" i="6"/>
  <c r="L46" i="6"/>
  <c r="M46" i="6"/>
  <c r="E47" i="6"/>
  <c r="F47" i="6"/>
  <c r="G47" i="6"/>
  <c r="H47" i="6"/>
  <c r="I47" i="6"/>
  <c r="J47" i="6"/>
  <c r="K47" i="6"/>
  <c r="L47" i="6"/>
  <c r="M47" i="6"/>
  <c r="E48" i="6"/>
  <c r="F48" i="6"/>
  <c r="G48" i="6"/>
  <c r="H48" i="6"/>
  <c r="I48" i="6"/>
  <c r="J48" i="6"/>
  <c r="K48" i="6"/>
  <c r="L48" i="6"/>
  <c r="M48" i="6"/>
  <c r="E49" i="6"/>
  <c r="F49" i="6"/>
  <c r="G49" i="6"/>
  <c r="H49" i="6"/>
  <c r="I49" i="6"/>
  <c r="J49" i="6"/>
  <c r="K49" i="6"/>
  <c r="L49" i="6"/>
  <c r="M49" i="6"/>
  <c r="E50" i="6"/>
  <c r="F50" i="6"/>
  <c r="G50" i="6"/>
  <c r="H50" i="6"/>
  <c r="I50" i="6"/>
  <c r="J50" i="6"/>
  <c r="K50" i="6"/>
  <c r="L50" i="6"/>
  <c r="M50" i="6"/>
  <c r="E51" i="6"/>
  <c r="F51" i="6"/>
  <c r="G51" i="6"/>
  <c r="H51" i="6"/>
  <c r="I51" i="6"/>
  <c r="J51" i="6"/>
  <c r="K51" i="6"/>
  <c r="L51" i="6"/>
  <c r="M51" i="6"/>
  <c r="E52" i="6"/>
  <c r="F52" i="6"/>
  <c r="G52" i="6"/>
  <c r="H52" i="6"/>
  <c r="I52" i="6"/>
  <c r="J52" i="6"/>
  <c r="K52" i="6"/>
  <c r="L52" i="6"/>
  <c r="M52" i="6"/>
  <c r="E53" i="6"/>
  <c r="F53" i="6"/>
  <c r="G53" i="6"/>
  <c r="H53" i="6"/>
  <c r="I53" i="6"/>
  <c r="J53" i="6"/>
  <c r="K53" i="6"/>
  <c r="L53" i="6"/>
  <c r="M53" i="6"/>
  <c r="E54" i="6"/>
  <c r="F54" i="6"/>
  <c r="G54" i="6"/>
  <c r="H54" i="6"/>
  <c r="I54" i="6"/>
  <c r="J54" i="6"/>
  <c r="K54" i="6"/>
  <c r="L54" i="6"/>
  <c r="M54" i="6"/>
  <c r="E55" i="6"/>
  <c r="F55" i="6"/>
  <c r="G55" i="6"/>
  <c r="H55" i="6"/>
  <c r="I55" i="6"/>
  <c r="J55" i="6"/>
  <c r="K55" i="6"/>
  <c r="L55" i="6"/>
  <c r="M55" i="6"/>
  <c r="E56" i="6"/>
  <c r="F56" i="6"/>
  <c r="G56" i="6"/>
  <c r="H56" i="6"/>
  <c r="I56" i="6"/>
  <c r="J56" i="6"/>
  <c r="K56" i="6"/>
  <c r="L56" i="6"/>
  <c r="M56" i="6"/>
  <c r="E57" i="6"/>
  <c r="F57" i="6"/>
  <c r="G57" i="6"/>
  <c r="H57" i="6"/>
  <c r="I57" i="6"/>
  <c r="J57" i="6"/>
  <c r="K57" i="6"/>
  <c r="L57" i="6"/>
  <c r="M57" i="6"/>
  <c r="E58" i="6"/>
  <c r="F58" i="6"/>
  <c r="G58" i="6"/>
  <c r="H58" i="6"/>
  <c r="I58" i="6"/>
  <c r="J58" i="6"/>
  <c r="K58" i="6"/>
  <c r="L58" i="6"/>
  <c r="M58" i="6"/>
  <c r="E59" i="6"/>
  <c r="F59" i="6"/>
  <c r="G59" i="6"/>
  <c r="H59" i="6"/>
  <c r="I59" i="6"/>
  <c r="J59" i="6"/>
  <c r="K59" i="6"/>
  <c r="L59" i="6"/>
  <c r="M59" i="6"/>
  <c r="E60" i="6"/>
  <c r="F60" i="6"/>
  <c r="G60" i="6"/>
  <c r="H60" i="6"/>
  <c r="I60" i="6"/>
  <c r="J60" i="6"/>
  <c r="K60" i="6"/>
  <c r="L60" i="6"/>
  <c r="M60" i="6"/>
  <c r="E61" i="6"/>
  <c r="F61" i="6"/>
  <c r="G61" i="6"/>
  <c r="H61" i="6"/>
  <c r="I61" i="6"/>
  <c r="J61" i="6"/>
  <c r="K61" i="6"/>
  <c r="L61" i="6"/>
  <c r="M61" i="6"/>
  <c r="E62" i="6"/>
  <c r="F62" i="6"/>
  <c r="G62" i="6"/>
  <c r="H62" i="6"/>
  <c r="I62" i="6"/>
  <c r="J62" i="6"/>
  <c r="K62" i="6"/>
  <c r="L62" i="6"/>
  <c r="M62" i="6"/>
  <c r="E63" i="6"/>
  <c r="F63" i="6"/>
  <c r="G63" i="6"/>
  <c r="H63" i="6"/>
  <c r="I63" i="6"/>
  <c r="J63" i="6"/>
  <c r="K63" i="6"/>
  <c r="L63" i="6"/>
  <c r="M63" i="6"/>
  <c r="E64" i="6"/>
  <c r="F64" i="6"/>
  <c r="G64" i="6"/>
  <c r="H64" i="6"/>
  <c r="I64" i="6"/>
  <c r="J64" i="6"/>
  <c r="K64" i="6"/>
  <c r="L64" i="6"/>
  <c r="M64" i="6"/>
  <c r="M29" i="6"/>
  <c r="L29" i="6"/>
  <c r="K29" i="6"/>
  <c r="J29" i="6"/>
  <c r="I29" i="6"/>
  <c r="H29" i="6"/>
  <c r="G29" i="6"/>
  <c r="F29" i="6"/>
  <c r="E29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C29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I8" i="6"/>
  <c r="I7" i="6"/>
  <c r="D16" i="6"/>
  <c r="E16" i="6"/>
  <c r="C16" i="6"/>
  <c r="F5" i="6"/>
  <c r="F6" i="6"/>
  <c r="F7" i="6"/>
  <c r="F8" i="6"/>
  <c r="F9" i="6"/>
  <c r="F10" i="6"/>
  <c r="F11" i="6"/>
  <c r="F12" i="6"/>
  <c r="F13" i="6"/>
  <c r="F14" i="6"/>
  <c r="F15" i="6"/>
  <c r="F4" i="6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E4" i="5"/>
  <c r="E5" i="5"/>
  <c r="E6" i="5"/>
  <c r="E7" i="5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3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C4" i="5"/>
  <c r="C5" i="5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3" i="5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I4" i="3"/>
  <c r="I5" i="3"/>
  <c r="I6" i="3"/>
  <c r="I7" i="3"/>
  <c r="I8" i="3"/>
  <c r="I9" i="3"/>
  <c r="I10" i="3"/>
  <c r="I11" i="3"/>
  <c r="I3" i="3"/>
  <c r="H4" i="3"/>
  <c r="H5" i="3"/>
  <c r="H6" i="3"/>
  <c r="H7" i="3"/>
  <c r="H8" i="3"/>
  <c r="H9" i="3"/>
  <c r="H10" i="3"/>
  <c r="H11" i="3"/>
  <c r="H3" i="3"/>
  <c r="E4" i="3"/>
  <c r="E5" i="3"/>
  <c r="E6" i="3"/>
  <c r="E7" i="3"/>
  <c r="E8" i="3"/>
  <c r="E9" i="3"/>
  <c r="E10" i="3"/>
  <c r="E11" i="3"/>
  <c r="E3" i="3"/>
  <c r="D4" i="3"/>
  <c r="D5" i="3"/>
  <c r="D6" i="3"/>
  <c r="D7" i="3"/>
  <c r="D8" i="3"/>
  <c r="D9" i="3"/>
  <c r="D10" i="3"/>
  <c r="D11" i="3"/>
  <c r="D3" i="3"/>
  <c r="O16" i="7" a="1"/>
  <c r="O17" i="7" l="1"/>
  <c r="P18" i="7"/>
  <c r="O16" i="7"/>
  <c r="P17" i="7"/>
  <c r="Q18" i="7"/>
  <c r="P16" i="7"/>
  <c r="Q17" i="7"/>
  <c r="Q16" i="7"/>
  <c r="O18" i="7"/>
  <c r="G10" i="6"/>
  <c r="D7" i="1"/>
  <c r="G9" i="6" l="1"/>
  <c r="G11" i="6"/>
  <c r="H10" i="6"/>
  <c r="O11" i="7"/>
  <c r="P11" i="7"/>
  <c r="Q11" i="7"/>
  <c r="P9" i="7"/>
  <c r="Q9" i="7"/>
  <c r="O9" i="7"/>
  <c r="R4" i="7"/>
  <c r="O10" i="7" s="1"/>
  <c r="R5" i="7"/>
  <c r="R3" i="7"/>
  <c r="F4" i="7"/>
  <c r="G4" i="7"/>
  <c r="H4" i="7"/>
  <c r="I4" i="7"/>
  <c r="J4" i="7"/>
  <c r="K4" i="7"/>
  <c r="L4" i="7"/>
  <c r="F5" i="7"/>
  <c r="G5" i="7"/>
  <c r="H5" i="7"/>
  <c r="I5" i="7"/>
  <c r="J5" i="7"/>
  <c r="K5" i="7"/>
  <c r="L5" i="7"/>
  <c r="F6" i="7"/>
  <c r="G6" i="7"/>
  <c r="H6" i="7"/>
  <c r="I6" i="7"/>
  <c r="J6" i="7"/>
  <c r="K6" i="7"/>
  <c r="L6" i="7"/>
  <c r="F7" i="7"/>
  <c r="G7" i="7"/>
  <c r="H7" i="7"/>
  <c r="I7" i="7"/>
  <c r="J7" i="7"/>
  <c r="K7" i="7"/>
  <c r="L7" i="7"/>
  <c r="F8" i="7"/>
  <c r="G8" i="7"/>
  <c r="H8" i="7"/>
  <c r="I8" i="7"/>
  <c r="J8" i="7"/>
  <c r="K8" i="7"/>
  <c r="L8" i="7"/>
  <c r="F9" i="7"/>
  <c r="G9" i="7"/>
  <c r="H9" i="7"/>
  <c r="I9" i="7"/>
  <c r="J9" i="7"/>
  <c r="K9" i="7"/>
  <c r="L9" i="7"/>
  <c r="F10" i="7"/>
  <c r="G10" i="7"/>
  <c r="H10" i="7"/>
  <c r="I10" i="7"/>
  <c r="J10" i="7"/>
  <c r="K10" i="7"/>
  <c r="L10" i="7"/>
  <c r="F11" i="7"/>
  <c r="G11" i="7"/>
  <c r="H11" i="7"/>
  <c r="I11" i="7"/>
  <c r="J11" i="7"/>
  <c r="K11" i="7"/>
  <c r="L11" i="7"/>
  <c r="F12" i="7"/>
  <c r="G12" i="7"/>
  <c r="H12" i="7"/>
  <c r="I12" i="7"/>
  <c r="J12" i="7"/>
  <c r="K12" i="7"/>
  <c r="L12" i="7"/>
  <c r="F13" i="7"/>
  <c r="G13" i="7"/>
  <c r="H13" i="7"/>
  <c r="I13" i="7"/>
  <c r="J13" i="7"/>
  <c r="K13" i="7"/>
  <c r="L13" i="7"/>
  <c r="F14" i="7"/>
  <c r="G14" i="7"/>
  <c r="H14" i="7"/>
  <c r="I14" i="7"/>
  <c r="J14" i="7"/>
  <c r="K14" i="7"/>
  <c r="L14" i="7"/>
  <c r="F15" i="7"/>
  <c r="G15" i="7"/>
  <c r="H15" i="7"/>
  <c r="I15" i="7"/>
  <c r="J15" i="7"/>
  <c r="K15" i="7"/>
  <c r="L15" i="7"/>
  <c r="F16" i="7"/>
  <c r="G16" i="7"/>
  <c r="H16" i="7"/>
  <c r="I16" i="7"/>
  <c r="J16" i="7"/>
  <c r="K16" i="7"/>
  <c r="L16" i="7"/>
  <c r="F17" i="7"/>
  <c r="G17" i="7"/>
  <c r="H17" i="7"/>
  <c r="I17" i="7"/>
  <c r="J17" i="7"/>
  <c r="K17" i="7"/>
  <c r="L17" i="7"/>
  <c r="F18" i="7"/>
  <c r="G18" i="7"/>
  <c r="H18" i="7"/>
  <c r="I18" i="7"/>
  <c r="J18" i="7"/>
  <c r="K18" i="7"/>
  <c r="L18" i="7"/>
  <c r="F19" i="7"/>
  <c r="G19" i="7"/>
  <c r="H19" i="7"/>
  <c r="I19" i="7"/>
  <c r="J19" i="7"/>
  <c r="K19" i="7"/>
  <c r="L19" i="7"/>
  <c r="F20" i="7"/>
  <c r="G20" i="7"/>
  <c r="H20" i="7"/>
  <c r="I20" i="7"/>
  <c r="J20" i="7"/>
  <c r="K20" i="7"/>
  <c r="L20" i="7"/>
  <c r="F21" i="7"/>
  <c r="G21" i="7"/>
  <c r="H21" i="7"/>
  <c r="I21" i="7"/>
  <c r="J21" i="7"/>
  <c r="K21" i="7"/>
  <c r="L21" i="7"/>
  <c r="F22" i="7"/>
  <c r="G22" i="7"/>
  <c r="H22" i="7"/>
  <c r="I22" i="7"/>
  <c r="J22" i="7"/>
  <c r="K22" i="7"/>
  <c r="L22" i="7"/>
  <c r="F23" i="7"/>
  <c r="G23" i="7"/>
  <c r="H23" i="7"/>
  <c r="I23" i="7"/>
  <c r="J23" i="7"/>
  <c r="K23" i="7"/>
  <c r="L23" i="7"/>
  <c r="F24" i="7"/>
  <c r="G24" i="7"/>
  <c r="H24" i="7"/>
  <c r="I24" i="7"/>
  <c r="J24" i="7"/>
  <c r="K24" i="7"/>
  <c r="L24" i="7"/>
  <c r="F25" i="7"/>
  <c r="G25" i="7"/>
  <c r="H25" i="7"/>
  <c r="I25" i="7"/>
  <c r="J25" i="7"/>
  <c r="K25" i="7"/>
  <c r="L25" i="7"/>
  <c r="F26" i="7"/>
  <c r="G26" i="7"/>
  <c r="H26" i="7"/>
  <c r="I26" i="7"/>
  <c r="J26" i="7"/>
  <c r="K26" i="7"/>
  <c r="L26" i="7"/>
  <c r="L3" i="7"/>
  <c r="K3" i="7"/>
  <c r="J3" i="7"/>
  <c r="I3" i="7"/>
  <c r="H3" i="7"/>
  <c r="G3" i="7"/>
  <c r="F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3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3" i="7"/>
  <c r="H27" i="7" l="1"/>
  <c r="L27" i="7"/>
  <c r="I27" i="7"/>
  <c r="E27" i="7"/>
  <c r="F27" i="7"/>
  <c r="J27" i="7"/>
  <c r="G27" i="7"/>
  <c r="K27" i="7"/>
  <c r="D27" i="7"/>
  <c r="G12" i="6"/>
  <c r="H11" i="6"/>
  <c r="G8" i="6"/>
  <c r="H9" i="6"/>
  <c r="Q10" i="7"/>
  <c r="P10" i="7"/>
  <c r="G7" i="6" l="1"/>
  <c r="H8" i="6"/>
  <c r="G13" i="6"/>
  <c r="H12" i="6"/>
  <c r="G14" i="6" l="1"/>
  <c r="H13" i="6"/>
  <c r="G6" i="6"/>
  <c r="H7" i="6"/>
  <c r="G5" i="6" l="1"/>
  <c r="H6" i="6"/>
  <c r="D21" i="6" s="1"/>
  <c r="G15" i="6"/>
  <c r="H15" i="6" s="1"/>
  <c r="H14" i="6"/>
  <c r="G4" i="6" l="1"/>
  <c r="H4" i="6" s="1"/>
  <c r="D19" i="6" s="1"/>
  <c r="H5" i="6"/>
  <c r="D20" i="6" s="1"/>
</calcChain>
</file>

<file path=xl/sharedStrings.xml><?xml version="1.0" encoding="utf-8"?>
<sst xmlns="http://schemas.openxmlformats.org/spreadsheetml/2006/main" count="409" uniqueCount="141">
  <si>
    <t>12家分店的营业支出与营业收入</t>
    <phoneticPr fontId="3" type="noConversion"/>
  </si>
  <si>
    <t>编号</t>
    <phoneticPr fontId="3" type="noConversion"/>
  </si>
  <si>
    <t>支出</t>
    <phoneticPr fontId="3" type="noConversion"/>
  </si>
  <si>
    <t>收入</t>
    <phoneticPr fontId="3" type="noConversion"/>
  </si>
  <si>
    <t>SUMMARY OUTPUT</t>
  </si>
  <si>
    <t>回归统计</t>
  </si>
  <si>
    <t>Multiple R</t>
  </si>
  <si>
    <t>R Square</t>
  </si>
  <si>
    <t>Adjusted R Square</t>
  </si>
  <si>
    <t>标准误差</t>
  </si>
  <si>
    <t>观测值</t>
  </si>
  <si>
    <t>方差分析</t>
  </si>
  <si>
    <t>回归分析</t>
  </si>
  <si>
    <t>残差</t>
  </si>
  <si>
    <t>总计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</si>
  <si>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</si>
  <si>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</si>
  <si>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</si>
  <si>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</si>
  <si>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</si>
  <si>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</si>
  <si>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</si>
  <si>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</si>
  <si>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</si>
  <si>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</si>
  <si>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</si>
  <si>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下限 95.0%</t>
  </si>
  <si>
    <t>上限 95.0%</t>
  </si>
  <si>
    <t>X Variable 1</t>
  </si>
  <si>
    <t>X Variable 2</t>
  </si>
  <si>
    <t>收入与电视广告费、报纸广告费关系表</t>
    <phoneticPr fontId="3" type="noConversion"/>
  </si>
  <si>
    <t>每周的总收入/千元</t>
    <phoneticPr fontId="3" type="noConversion"/>
  </si>
  <si>
    <t>电视广告费/千元</t>
    <phoneticPr fontId="3" type="noConversion"/>
  </si>
  <si>
    <t>报纸广告费/千元</t>
    <phoneticPr fontId="3" type="noConversion"/>
  </si>
  <si>
    <t>销售额与流通率关系表</t>
    <phoneticPr fontId="3" type="noConversion"/>
  </si>
  <si>
    <t>样本点</t>
    <phoneticPr fontId="3" type="noConversion"/>
  </si>
  <si>
    <t>销售额</t>
    <phoneticPr fontId="3" type="noConversion"/>
  </si>
  <si>
    <t>流通率</t>
    <phoneticPr fontId="3" type="noConversion"/>
  </si>
  <si>
    <t>月份</t>
    <phoneticPr fontId="5" type="noConversion"/>
  </si>
  <si>
    <t>销售额</t>
    <phoneticPr fontId="5" type="noConversion"/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</si>
  <si>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</si>
  <si>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</si>
  <si>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</si>
  <si>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</si>
  <si>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</si>
  <si>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</si>
  <si>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</si>
  <si>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</si>
  <si>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</si>
  <si>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</si>
  <si>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</si>
  <si>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</si>
  <si>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</si>
  <si>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</si>
  <si>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</si>
  <si>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</si>
  <si>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</si>
  <si>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</si>
  <si>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</si>
  <si>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</si>
  <si>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</si>
  <si>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</si>
  <si>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</si>
  <si>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</si>
  <si>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</si>
  <si>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</si>
  <si>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</si>
  <si>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</si>
  <si>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</si>
  <si>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</si>
  <si>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</si>
  <si>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</si>
  <si>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</si>
  <si>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</si>
  <si>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</si>
  <si>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</si>
  <si>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</si>
  <si>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</si>
  <si>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</si>
  <si>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</si>
  <si>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</si>
  <si>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</si>
  <si>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</si>
  <si>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年份</t>
    <phoneticPr fontId="3" type="noConversion"/>
  </si>
  <si>
    <t>时间</t>
    <phoneticPr fontId="3" type="noConversion"/>
  </si>
  <si>
    <t>月份</t>
    <phoneticPr fontId="3" type="noConversion"/>
  </si>
  <si>
    <t>月份</t>
    <phoneticPr fontId="3" type="noConversion"/>
  </si>
  <si>
    <t>销量</t>
    <phoneticPr fontId="3" type="noConversion"/>
  </si>
  <si>
    <t>销售记录</t>
    <phoneticPr fontId="3" type="noConversion"/>
  </si>
  <si>
    <t>状态</t>
    <phoneticPr fontId="3" type="noConversion"/>
  </si>
  <si>
    <t>1-&gt;1</t>
    <phoneticPr fontId="3" type="noConversion"/>
  </si>
  <si>
    <t>1-&gt;2</t>
    <phoneticPr fontId="3" type="noConversion"/>
  </si>
  <si>
    <t>1-&gt;3</t>
    <phoneticPr fontId="3" type="noConversion"/>
  </si>
  <si>
    <t>2-&gt;1</t>
    <phoneticPr fontId="3" type="noConversion"/>
  </si>
  <si>
    <t>2-&gt;2</t>
    <phoneticPr fontId="3" type="noConversion"/>
  </si>
  <si>
    <t>2-&gt;3</t>
    <phoneticPr fontId="3" type="noConversion"/>
  </si>
  <si>
    <t>3-&gt;1</t>
    <phoneticPr fontId="3" type="noConversion"/>
  </si>
  <si>
    <t>3-&gt;2</t>
    <phoneticPr fontId="3" type="noConversion"/>
  </si>
  <si>
    <t>3-&gt;3</t>
    <phoneticPr fontId="3" type="noConversion"/>
  </si>
  <si>
    <t>合计</t>
    <phoneticPr fontId="3" type="noConversion"/>
  </si>
  <si>
    <t>一步转移矩阵</t>
    <phoneticPr fontId="3" type="noConversion"/>
  </si>
  <si>
    <t>6步转移矩阵</t>
    <phoneticPr fontId="3" type="noConversion"/>
  </si>
  <si>
    <t>RESIDUAL OUTPUT</t>
  </si>
  <si>
    <t>预测 Y</t>
  </si>
  <si>
    <t>标准残差</t>
  </si>
  <si>
    <t>PROBABILITY OUTPUT</t>
  </si>
  <si>
    <t>百分比排位</t>
  </si>
  <si>
    <t>Y</t>
  </si>
  <si>
    <t>电视广告费/千元</t>
  </si>
  <si>
    <t>报纸广告费/千元</t>
  </si>
  <si>
    <t>预测 每周的总收入/千元</t>
  </si>
  <si>
    <t>每周的总收入/千元</t>
  </si>
  <si>
    <t>流通率的对数</t>
    <phoneticPr fontId="3" type="noConversion"/>
  </si>
  <si>
    <t>预测 1.94591014905531</t>
  </si>
  <si>
    <t>指数模型</t>
    <phoneticPr fontId="3" type="noConversion"/>
  </si>
  <si>
    <t>对数模型</t>
    <phoneticPr fontId="3" type="noConversion"/>
  </si>
  <si>
    <t>销售额的对数</t>
    <phoneticPr fontId="3" type="noConversion"/>
  </si>
  <si>
    <t>预测 7</t>
  </si>
  <si>
    <t>幂函数</t>
    <phoneticPr fontId="3" type="noConversion"/>
  </si>
  <si>
    <t>多项式</t>
    <phoneticPr fontId="3" type="noConversion"/>
  </si>
  <si>
    <t>X Variable 3</t>
  </si>
  <si>
    <t>销售量</t>
    <phoneticPr fontId="3" type="noConversion"/>
  </si>
  <si>
    <t>M1</t>
    <phoneticPr fontId="3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</si>
  <si>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</si>
  <si>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</si>
  <si>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</si>
  <si>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</si>
  <si>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</si>
  <si>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</si>
  <si>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</si>
  <si>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</si>
  <si>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</si>
  <si>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</si>
  <si>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X Variable 4</t>
  </si>
  <si>
    <t>X Variable 5</t>
  </si>
  <si>
    <t>X Variable 6</t>
  </si>
  <si>
    <t>X Variable 7</t>
  </si>
  <si>
    <t>X Variable 8</t>
  </si>
  <si>
    <t>X Variable 9</t>
  </si>
  <si>
    <t>X Variable 10</t>
  </si>
  <si>
    <t>X Variable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</si>
</sst>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5"/>
      <color theme="3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color theme="1"/>
      <name val="微软雅黑"/>
      <family val="2"/>
      <charset val="134"/>
    </font>
    <font>
      <sz val="9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599963377788628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1" fillId="2" borderId="0" xfId="2">
      <alignment vertical="center"/>
    </xf>
    <xf numFmtId="0" fontId="0" fillId="0" borderId="0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Continuous" vertical="center"/>
    </xf>
    <xf numFmtId="0" fontId="4" fillId="3" borderId="4" xfId="0" applyFont="1" applyFill="1" applyBorder="1">
      <alignment vertical="center"/>
    </xf>
    <xf numFmtId="176" fontId="4" fillId="3" borderId="4" xfId="0" applyNumberFormat="1" applyFont="1" applyFill="1" applyBorder="1">
      <alignment vertical="center"/>
    </xf>
    <xf numFmtId="0" fontId="6" fillId="0" borderId="4" xfId="0" applyFont="1" applyBorder="1">
      <alignment vertical="center"/>
    </xf>
    <xf numFmtId="176" fontId="6" fillId="0" borderId="4" xfId="0" applyNumberFormat="1" applyFont="1" applyBorder="1">
      <alignment vertical="center"/>
    </xf>
    <xf numFmtId="0" fontId="6" fillId="0" borderId="5" xfId="0" applyFont="1" applyBorder="1">
      <alignment vertical="center"/>
    </xf>
    <xf numFmtId="176" fontId="6" fillId="0" borderId="5" xfId="0" applyNumberFormat="1" applyFont="1" applyBorder="1">
      <alignment vertical="center"/>
    </xf>
    <xf numFmtId="176" fontId="0" fillId="0" borderId="0" xfId="0" applyNumberFormat="1">
      <alignment vertical="center"/>
    </xf>
    <xf numFmtId="13" fontId="0" fillId="0" borderId="0" xfId="0" applyNumberFormat="1">
      <alignment vertical="center"/>
    </xf>
    <xf numFmtId="0" fontId="1" fillId="2" borderId="0" xfId="2" applyAlignment="1">
      <alignment horizontal="center" vertical="center"/>
    </xf>
    <xf numFmtId="0" fontId="2" fillId="2" borderId="1" xfId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</cellXfs>
  <cellStyles count="3">
    <cellStyle name="40% - 着色 1" xfId="2" builtinId="31"/>
    <cellStyle name="标题 1" xfId="1" builtinId="16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支出与收入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一元线性回归!$A$8:$A$19</c:f>
              <c:numCache>
                <c:formatCode>General</c:formatCode>
                <c:ptCount val="12"/>
                <c:pt idx="0">
                  <c:v>15</c:v>
                </c:pt>
                <c:pt idx="1">
                  <c:v>20</c:v>
                </c:pt>
                <c:pt idx="2">
                  <c:v>17</c:v>
                </c:pt>
                <c:pt idx="3">
                  <c:v>18</c:v>
                </c:pt>
                <c:pt idx="4">
                  <c:v>25</c:v>
                </c:pt>
                <c:pt idx="5">
                  <c:v>32</c:v>
                </c:pt>
                <c:pt idx="6">
                  <c:v>28</c:v>
                </c:pt>
                <c:pt idx="7">
                  <c:v>20</c:v>
                </c:pt>
                <c:pt idx="8">
                  <c:v>22</c:v>
                </c:pt>
                <c:pt idx="9">
                  <c:v>33</c:v>
                </c:pt>
                <c:pt idx="10">
                  <c:v>33</c:v>
                </c:pt>
                <c:pt idx="11">
                  <c:v>31</c:v>
                </c:pt>
              </c:numCache>
            </c:numRef>
          </c:xVal>
          <c:yVal>
            <c:numRef>
              <c:f>一元线性回归!$B$8:$B$19</c:f>
              <c:numCache>
                <c:formatCode>General</c:formatCode>
                <c:ptCount val="12"/>
                <c:pt idx="0">
                  <c:v>22</c:v>
                </c:pt>
                <c:pt idx="1">
                  <c:v>24</c:v>
                </c:pt>
                <c:pt idx="2">
                  <c:v>25</c:v>
                </c:pt>
                <c:pt idx="3">
                  <c:v>20</c:v>
                </c:pt>
                <c:pt idx="4">
                  <c:v>32</c:v>
                </c:pt>
                <c:pt idx="5">
                  <c:v>31</c:v>
                </c:pt>
                <c:pt idx="6">
                  <c:v>33</c:v>
                </c:pt>
                <c:pt idx="7">
                  <c:v>21</c:v>
                </c:pt>
                <c:pt idx="8">
                  <c:v>26</c:v>
                </c:pt>
                <c:pt idx="9">
                  <c:v>30</c:v>
                </c:pt>
                <c:pt idx="10">
                  <c:v>38</c:v>
                </c:pt>
                <c:pt idx="11">
                  <c:v>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036960"/>
        <c:axId val="397035280"/>
      </c:scatterChart>
      <c:valAx>
        <c:axId val="39703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7035280"/>
        <c:crosses val="autoZero"/>
        <c:crossBetween val="midCat"/>
      </c:valAx>
      <c:valAx>
        <c:axId val="39703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703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X Variable 1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一元线性回归!$A$8:$A$19</c:f>
              <c:numCache>
                <c:formatCode>General</c:formatCode>
                <c:ptCount val="12"/>
                <c:pt idx="0">
                  <c:v>15</c:v>
                </c:pt>
                <c:pt idx="1">
                  <c:v>20</c:v>
                </c:pt>
                <c:pt idx="2">
                  <c:v>17</c:v>
                </c:pt>
                <c:pt idx="3">
                  <c:v>18</c:v>
                </c:pt>
                <c:pt idx="4">
                  <c:v>25</c:v>
                </c:pt>
                <c:pt idx="5">
                  <c:v>32</c:v>
                </c:pt>
                <c:pt idx="6">
                  <c:v>28</c:v>
                </c:pt>
                <c:pt idx="7">
                  <c:v>20</c:v>
                </c:pt>
                <c:pt idx="8">
                  <c:v>22</c:v>
                </c:pt>
                <c:pt idx="9">
                  <c:v>33</c:v>
                </c:pt>
                <c:pt idx="10">
                  <c:v>33</c:v>
                </c:pt>
                <c:pt idx="11">
                  <c:v>31</c:v>
                </c:pt>
              </c:numCache>
            </c:numRef>
          </c:xVal>
          <c:yVal>
            <c:numRef>
              <c:f>一元线性回归!$C$53:$C$64</c:f>
              <c:numCache>
                <c:formatCode>General</c:formatCode>
                <c:ptCount val="12"/>
                <c:pt idx="0">
                  <c:v>0.88492871690427677</c:v>
                </c:pt>
                <c:pt idx="1">
                  <c:v>-0.47556008146639428</c:v>
                </c:pt>
                <c:pt idx="2">
                  <c:v>2.5407331975560083</c:v>
                </c:pt>
                <c:pt idx="3">
                  <c:v>-3.1313645621181259</c:v>
                </c:pt>
                <c:pt idx="4">
                  <c:v>4.1639511201629311</c:v>
                </c:pt>
                <c:pt idx="5">
                  <c:v>-1.5407331975560083</c:v>
                </c:pt>
                <c:pt idx="6">
                  <c:v>3.1476578411405285</c:v>
                </c:pt>
                <c:pt idx="7">
                  <c:v>-3.4755600814663943</c:v>
                </c:pt>
                <c:pt idx="8">
                  <c:v>0.18024439918533375</c:v>
                </c:pt>
                <c:pt idx="9">
                  <c:v>-3.212830957230139</c:v>
                </c:pt>
                <c:pt idx="10">
                  <c:v>4.787169042769861</c:v>
                </c:pt>
                <c:pt idx="11">
                  <c:v>-3.8686354378818741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568608"/>
        <c:axId val="307733584"/>
      </c:scatterChart>
      <c:valAx>
        <c:axId val="40756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Variable 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7733584"/>
        <c:crosses val="autoZero"/>
        <c:crossBetween val="midCat"/>
      </c:valAx>
      <c:valAx>
        <c:axId val="3077335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756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X Variable 1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一元线性回归!$A$8:$A$19</c:f>
              <c:numCache>
                <c:formatCode>General</c:formatCode>
                <c:ptCount val="12"/>
                <c:pt idx="0">
                  <c:v>15</c:v>
                </c:pt>
                <c:pt idx="1">
                  <c:v>20</c:v>
                </c:pt>
                <c:pt idx="2">
                  <c:v>17</c:v>
                </c:pt>
                <c:pt idx="3">
                  <c:v>18</c:v>
                </c:pt>
                <c:pt idx="4">
                  <c:v>25</c:v>
                </c:pt>
                <c:pt idx="5">
                  <c:v>32</c:v>
                </c:pt>
                <c:pt idx="6">
                  <c:v>28</c:v>
                </c:pt>
                <c:pt idx="7">
                  <c:v>20</c:v>
                </c:pt>
                <c:pt idx="8">
                  <c:v>22</c:v>
                </c:pt>
                <c:pt idx="9">
                  <c:v>33</c:v>
                </c:pt>
                <c:pt idx="10">
                  <c:v>33</c:v>
                </c:pt>
                <c:pt idx="11">
                  <c:v>31</c:v>
                </c:pt>
              </c:numCache>
            </c:numRef>
          </c:xVal>
          <c:yVal>
            <c:numRef>
              <c:f>一元线性回归!$B$8:$B$19</c:f>
              <c:numCache>
                <c:formatCode>General</c:formatCode>
                <c:ptCount val="12"/>
                <c:pt idx="0">
                  <c:v>22</c:v>
                </c:pt>
                <c:pt idx="1">
                  <c:v>24</c:v>
                </c:pt>
                <c:pt idx="2">
                  <c:v>25</c:v>
                </c:pt>
                <c:pt idx="3">
                  <c:v>20</c:v>
                </c:pt>
                <c:pt idx="4">
                  <c:v>32</c:v>
                </c:pt>
                <c:pt idx="5">
                  <c:v>31</c:v>
                </c:pt>
                <c:pt idx="6">
                  <c:v>33</c:v>
                </c:pt>
                <c:pt idx="7">
                  <c:v>21</c:v>
                </c:pt>
                <c:pt idx="8">
                  <c:v>26</c:v>
                </c:pt>
                <c:pt idx="9">
                  <c:v>30</c:v>
                </c:pt>
                <c:pt idx="10">
                  <c:v>38</c:v>
                </c:pt>
                <c:pt idx="11">
                  <c:v>28</c:v>
                </c:pt>
              </c:numCache>
            </c:numRef>
          </c:yVal>
          <c:smooth val="0"/>
        </c:ser>
        <c:ser>
          <c:idx val="1"/>
          <c:order val="1"/>
          <c:tx>
            <c:v>预测 Y</c:v>
          </c:tx>
          <c:spPr>
            <a:ln w="19050">
              <a:noFill/>
            </a:ln>
          </c:spPr>
          <c:xVal>
            <c:numRef>
              <c:f>一元线性回归!$A$8:$A$19</c:f>
              <c:numCache>
                <c:formatCode>General</c:formatCode>
                <c:ptCount val="12"/>
                <c:pt idx="0">
                  <c:v>15</c:v>
                </c:pt>
                <c:pt idx="1">
                  <c:v>20</c:v>
                </c:pt>
                <c:pt idx="2">
                  <c:v>17</c:v>
                </c:pt>
                <c:pt idx="3">
                  <c:v>18</c:v>
                </c:pt>
                <c:pt idx="4">
                  <c:v>25</c:v>
                </c:pt>
                <c:pt idx="5">
                  <c:v>32</c:v>
                </c:pt>
                <c:pt idx="6">
                  <c:v>28</c:v>
                </c:pt>
                <c:pt idx="7">
                  <c:v>20</c:v>
                </c:pt>
                <c:pt idx="8">
                  <c:v>22</c:v>
                </c:pt>
                <c:pt idx="9">
                  <c:v>33</c:v>
                </c:pt>
                <c:pt idx="10">
                  <c:v>33</c:v>
                </c:pt>
                <c:pt idx="11">
                  <c:v>31</c:v>
                </c:pt>
              </c:numCache>
            </c:numRef>
          </c:xVal>
          <c:yVal>
            <c:numRef>
              <c:f>一元线性回归!$B$53:$B$64</c:f>
              <c:numCache>
                <c:formatCode>General</c:formatCode>
                <c:ptCount val="12"/>
                <c:pt idx="0">
                  <c:v>21.115071283095723</c:v>
                </c:pt>
                <c:pt idx="1">
                  <c:v>24.475560081466394</c:v>
                </c:pt>
                <c:pt idx="2">
                  <c:v>22.459266802443992</c:v>
                </c:pt>
                <c:pt idx="3">
                  <c:v>23.131364562118126</c:v>
                </c:pt>
                <c:pt idx="4">
                  <c:v>27.836048879837069</c:v>
                </c:pt>
                <c:pt idx="5">
                  <c:v>32.540733197556008</c:v>
                </c:pt>
                <c:pt idx="6">
                  <c:v>29.852342158859472</c:v>
                </c:pt>
                <c:pt idx="7">
                  <c:v>24.475560081466394</c:v>
                </c:pt>
                <c:pt idx="8">
                  <c:v>25.819755600814666</c:v>
                </c:pt>
                <c:pt idx="9">
                  <c:v>33.212830957230139</c:v>
                </c:pt>
                <c:pt idx="10">
                  <c:v>33.212830957230139</c:v>
                </c:pt>
                <c:pt idx="11">
                  <c:v>31.868635437881874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576448"/>
        <c:axId val="407566368"/>
      </c:scatterChart>
      <c:valAx>
        <c:axId val="40757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Variable 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7566368"/>
        <c:crosses val="autoZero"/>
        <c:crossBetween val="midCat"/>
      </c:valAx>
      <c:valAx>
        <c:axId val="4075663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757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一元线性回归!$F$53:$F$64</c:f>
              <c:numCache>
                <c:formatCode>General</c:formatCode>
                <c:ptCount val="12"/>
                <c:pt idx="0">
                  <c:v>4.166666666666667</c:v>
                </c:pt>
                <c:pt idx="1">
                  <c:v>12.5</c:v>
                </c:pt>
                <c:pt idx="2">
                  <c:v>20.833333333333336</c:v>
                </c:pt>
                <c:pt idx="3">
                  <c:v>29.166666666666668</c:v>
                </c:pt>
                <c:pt idx="4">
                  <c:v>37.5</c:v>
                </c:pt>
                <c:pt idx="5">
                  <c:v>45.833333333333336</c:v>
                </c:pt>
                <c:pt idx="6">
                  <c:v>54.166666666666664</c:v>
                </c:pt>
                <c:pt idx="7">
                  <c:v>62.5</c:v>
                </c:pt>
                <c:pt idx="8">
                  <c:v>70.833333333333343</c:v>
                </c:pt>
                <c:pt idx="9">
                  <c:v>79.166666666666671</c:v>
                </c:pt>
                <c:pt idx="10">
                  <c:v>87.500000000000014</c:v>
                </c:pt>
                <c:pt idx="11">
                  <c:v>95.833333333333343</c:v>
                </c:pt>
              </c:numCache>
            </c:numRef>
          </c:xVal>
          <c:yVal>
            <c:numRef>
              <c:f>一元线性回归!$G$53:$G$64</c:f>
              <c:numCache>
                <c:formatCode>General</c:formatCode>
                <c:ptCount val="12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28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575888"/>
        <c:axId val="407573648"/>
      </c:scatterChart>
      <c:valAx>
        <c:axId val="40757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7573648"/>
        <c:crosses val="autoZero"/>
        <c:crossBetween val="midCat"/>
      </c:valAx>
      <c:valAx>
        <c:axId val="407573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757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电视广告费</a:t>
            </a:r>
            <a:r>
              <a:rPr lang="en-US" altLang="zh-CN"/>
              <a:t>/</a:t>
            </a:r>
            <a:r>
              <a:rPr lang="zh-CN" altLang="en-US"/>
              <a:t>千元 </a:t>
            </a:r>
            <a:r>
              <a:rPr lang="en-US" altLang="zh-CN"/>
              <a:t>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多元线性回归!$B$3:$B$10</c:f>
              <c:numCache>
                <c:formatCode>General</c:formatCode>
                <c:ptCount val="8"/>
                <c:pt idx="0">
                  <c:v>5.5</c:v>
                </c:pt>
                <c:pt idx="1">
                  <c:v>2</c:v>
                </c:pt>
                <c:pt idx="2">
                  <c:v>4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2.5</c:v>
                </c:pt>
                <c:pt idx="7">
                  <c:v>3</c:v>
                </c:pt>
              </c:numCache>
            </c:numRef>
          </c:xVal>
          <c:yVal>
            <c:numRef>
              <c:f>多元线性回归!$H$27:$H$34</c:f>
              <c:numCache>
                <c:formatCode>General</c:formatCode>
                <c:ptCount val="8"/>
                <c:pt idx="0">
                  <c:v>-0.85019633064788991</c:v>
                </c:pt>
                <c:pt idx="1">
                  <c:v>-0.72921603141290348</c:v>
                </c:pt>
                <c:pt idx="2">
                  <c:v>1.0366765960327768</c:v>
                </c:pt>
                <c:pt idx="3">
                  <c:v>-0.30656353665966662</c:v>
                </c:pt>
                <c:pt idx="4">
                  <c:v>0.50103242840701512</c:v>
                </c:pt>
                <c:pt idx="5">
                  <c:v>1.4877124094496708E-2</c:v>
                </c:pt>
                <c:pt idx="6">
                  <c:v>-0.39775573759393978</c:v>
                </c:pt>
                <c:pt idx="7">
                  <c:v>0.73114548778011113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338480"/>
        <c:axId val="405337360"/>
      </c:scatterChart>
      <c:valAx>
        <c:axId val="40533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电视广告费</a:t>
                </a:r>
                <a:r>
                  <a:rPr lang="en-US" altLang="zh-CN"/>
                  <a:t>/</a:t>
                </a:r>
                <a:r>
                  <a:rPr lang="zh-CN" altLang="en-US"/>
                  <a:t>千元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5337360"/>
        <c:crosses val="autoZero"/>
        <c:crossBetween val="midCat"/>
      </c:valAx>
      <c:valAx>
        <c:axId val="4053373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533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报纸广告费</a:t>
            </a:r>
            <a:r>
              <a:rPr lang="en-US" altLang="zh-CN"/>
              <a:t>/</a:t>
            </a:r>
            <a:r>
              <a:rPr lang="zh-CN" altLang="en-US"/>
              <a:t>千元 </a:t>
            </a:r>
            <a:r>
              <a:rPr lang="en-US" altLang="zh-CN"/>
              <a:t>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多元线性回归!$C$3:$C$10</c:f>
              <c:numCache>
                <c:formatCode>General</c:formatCode>
                <c:ptCount val="8"/>
                <c:pt idx="0">
                  <c:v>1.5</c:v>
                </c:pt>
                <c:pt idx="1">
                  <c:v>2</c:v>
                </c:pt>
                <c:pt idx="2">
                  <c:v>1.5</c:v>
                </c:pt>
                <c:pt idx="3">
                  <c:v>2.5</c:v>
                </c:pt>
                <c:pt idx="4">
                  <c:v>3.5</c:v>
                </c:pt>
                <c:pt idx="5">
                  <c:v>2.2999999999999998</c:v>
                </c:pt>
                <c:pt idx="6">
                  <c:v>4.2</c:v>
                </c:pt>
                <c:pt idx="7">
                  <c:v>2.5</c:v>
                </c:pt>
              </c:numCache>
            </c:numRef>
          </c:xVal>
          <c:yVal>
            <c:numRef>
              <c:f>多元线性回归!$H$27:$H$34</c:f>
              <c:numCache>
                <c:formatCode>General</c:formatCode>
                <c:ptCount val="8"/>
                <c:pt idx="0">
                  <c:v>-0.85019633064788991</c:v>
                </c:pt>
                <c:pt idx="1">
                  <c:v>-0.72921603141290348</c:v>
                </c:pt>
                <c:pt idx="2">
                  <c:v>1.0366765960327768</c:v>
                </c:pt>
                <c:pt idx="3">
                  <c:v>-0.30656353665966662</c:v>
                </c:pt>
                <c:pt idx="4">
                  <c:v>0.50103242840701512</c:v>
                </c:pt>
                <c:pt idx="5">
                  <c:v>1.4877124094496708E-2</c:v>
                </c:pt>
                <c:pt idx="6">
                  <c:v>-0.39775573759393978</c:v>
                </c:pt>
                <c:pt idx="7">
                  <c:v>0.73114548778011113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327840"/>
        <c:axId val="407580928"/>
      </c:scatterChart>
      <c:valAx>
        <c:axId val="405327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报纸广告费</a:t>
                </a:r>
                <a:r>
                  <a:rPr lang="en-US" altLang="zh-CN"/>
                  <a:t>/</a:t>
                </a:r>
                <a:r>
                  <a:rPr lang="zh-CN" altLang="en-US"/>
                  <a:t>千元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7580928"/>
        <c:crosses val="autoZero"/>
        <c:crossBetween val="midCat"/>
      </c:valAx>
      <c:valAx>
        <c:axId val="407580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532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电视广告费</a:t>
            </a:r>
            <a:r>
              <a:rPr lang="en-US" altLang="zh-CN"/>
              <a:t>/</a:t>
            </a:r>
            <a:r>
              <a:rPr lang="zh-CN" altLang="en-US"/>
              <a:t>千元 </a:t>
            </a:r>
            <a:r>
              <a:rPr lang="en-US" altLang="zh-CN"/>
              <a:t>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每周的总收入/千元</c:v>
          </c:tx>
          <c:spPr>
            <a:ln w="19050">
              <a:noFill/>
            </a:ln>
          </c:spPr>
          <c:xVal>
            <c:numRef>
              <c:f>多元线性回归!$B$3:$B$10</c:f>
              <c:numCache>
                <c:formatCode>General</c:formatCode>
                <c:ptCount val="8"/>
                <c:pt idx="0">
                  <c:v>5.5</c:v>
                </c:pt>
                <c:pt idx="1">
                  <c:v>2</c:v>
                </c:pt>
                <c:pt idx="2">
                  <c:v>4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2.5</c:v>
                </c:pt>
                <c:pt idx="7">
                  <c:v>3</c:v>
                </c:pt>
              </c:numCache>
            </c:numRef>
          </c:xVal>
          <c:yVal>
            <c:numRef>
              <c:f>多元线性回归!$A$3:$A$10</c:f>
              <c:numCache>
                <c:formatCode>General</c:formatCode>
                <c:ptCount val="8"/>
                <c:pt idx="0">
                  <c:v>96</c:v>
                </c:pt>
                <c:pt idx="1">
                  <c:v>90</c:v>
                </c:pt>
                <c:pt idx="2">
                  <c:v>95</c:v>
                </c:pt>
                <c:pt idx="3">
                  <c:v>92</c:v>
                </c:pt>
                <c:pt idx="4">
                  <c:v>95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</c:numCache>
            </c:numRef>
          </c:yVal>
          <c:smooth val="0"/>
        </c:ser>
        <c:ser>
          <c:idx val="1"/>
          <c:order val="1"/>
          <c:tx>
            <c:v>预测 每周的总收入/千元</c:v>
          </c:tx>
          <c:spPr>
            <a:ln w="19050">
              <a:noFill/>
            </a:ln>
          </c:spPr>
          <c:xVal>
            <c:numRef>
              <c:f>多元线性回归!$B$3:$B$10</c:f>
              <c:numCache>
                <c:formatCode>General</c:formatCode>
                <c:ptCount val="8"/>
                <c:pt idx="0">
                  <c:v>5.5</c:v>
                </c:pt>
                <c:pt idx="1">
                  <c:v>2</c:v>
                </c:pt>
                <c:pt idx="2">
                  <c:v>4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2.5</c:v>
                </c:pt>
                <c:pt idx="7">
                  <c:v>3</c:v>
                </c:pt>
              </c:numCache>
            </c:numRef>
          </c:xVal>
          <c:yVal>
            <c:numRef>
              <c:f>多元线性回归!$G$27:$G$34</c:f>
              <c:numCache>
                <c:formatCode>General</c:formatCode>
                <c:ptCount val="8"/>
                <c:pt idx="0">
                  <c:v>96.85019633064789</c:v>
                </c:pt>
                <c:pt idx="1">
                  <c:v>90.729216031412903</c:v>
                </c:pt>
                <c:pt idx="2">
                  <c:v>93.963323403967223</c:v>
                </c:pt>
                <c:pt idx="3">
                  <c:v>92.306563536659667</c:v>
                </c:pt>
                <c:pt idx="4">
                  <c:v>94.498967571592985</c:v>
                </c:pt>
                <c:pt idx="5">
                  <c:v>93.985122875905503</c:v>
                </c:pt>
                <c:pt idx="6">
                  <c:v>94.39775573759394</c:v>
                </c:pt>
                <c:pt idx="7">
                  <c:v>93.268854512219889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401072"/>
        <c:axId val="398932608"/>
      </c:scatterChart>
      <c:valAx>
        <c:axId val="40240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电视广告费</a:t>
                </a:r>
                <a:r>
                  <a:rPr lang="en-US" altLang="zh-CN"/>
                  <a:t>/</a:t>
                </a:r>
                <a:r>
                  <a:rPr lang="zh-CN" altLang="en-US"/>
                  <a:t>千元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8932608"/>
        <c:crosses val="autoZero"/>
        <c:crossBetween val="midCat"/>
      </c:valAx>
      <c:valAx>
        <c:axId val="3989326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每周的总收入</a:t>
                </a:r>
                <a:r>
                  <a:rPr lang="en-US" altLang="zh-CN"/>
                  <a:t>/</a:t>
                </a:r>
                <a:r>
                  <a:rPr lang="zh-CN" altLang="en-US"/>
                  <a:t>千元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401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报纸广告费</a:t>
            </a:r>
            <a:r>
              <a:rPr lang="en-US" altLang="zh-CN"/>
              <a:t>/</a:t>
            </a:r>
            <a:r>
              <a:rPr lang="zh-CN" altLang="en-US"/>
              <a:t>千元 </a:t>
            </a:r>
            <a:r>
              <a:rPr lang="en-US" altLang="zh-CN"/>
              <a:t>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每周的总收入/千元</c:v>
          </c:tx>
          <c:spPr>
            <a:ln w="19050">
              <a:noFill/>
            </a:ln>
          </c:spPr>
          <c:xVal>
            <c:numRef>
              <c:f>多元线性回归!$C$3:$C$10</c:f>
              <c:numCache>
                <c:formatCode>General</c:formatCode>
                <c:ptCount val="8"/>
                <c:pt idx="0">
                  <c:v>1.5</c:v>
                </c:pt>
                <c:pt idx="1">
                  <c:v>2</c:v>
                </c:pt>
                <c:pt idx="2">
                  <c:v>1.5</c:v>
                </c:pt>
                <c:pt idx="3">
                  <c:v>2.5</c:v>
                </c:pt>
                <c:pt idx="4">
                  <c:v>3.5</c:v>
                </c:pt>
                <c:pt idx="5">
                  <c:v>2.2999999999999998</c:v>
                </c:pt>
                <c:pt idx="6">
                  <c:v>4.2</c:v>
                </c:pt>
                <c:pt idx="7">
                  <c:v>2.5</c:v>
                </c:pt>
              </c:numCache>
            </c:numRef>
          </c:xVal>
          <c:yVal>
            <c:numRef>
              <c:f>多元线性回归!$A$3:$A$10</c:f>
              <c:numCache>
                <c:formatCode>General</c:formatCode>
                <c:ptCount val="8"/>
                <c:pt idx="0">
                  <c:v>96</c:v>
                </c:pt>
                <c:pt idx="1">
                  <c:v>90</c:v>
                </c:pt>
                <c:pt idx="2">
                  <c:v>95</c:v>
                </c:pt>
                <c:pt idx="3">
                  <c:v>92</c:v>
                </c:pt>
                <c:pt idx="4">
                  <c:v>95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</c:numCache>
            </c:numRef>
          </c:yVal>
          <c:smooth val="0"/>
        </c:ser>
        <c:ser>
          <c:idx val="1"/>
          <c:order val="1"/>
          <c:tx>
            <c:v>预测 每周的总收入/千元</c:v>
          </c:tx>
          <c:spPr>
            <a:ln w="19050">
              <a:noFill/>
            </a:ln>
          </c:spPr>
          <c:xVal>
            <c:numRef>
              <c:f>多元线性回归!$C$3:$C$10</c:f>
              <c:numCache>
                <c:formatCode>General</c:formatCode>
                <c:ptCount val="8"/>
                <c:pt idx="0">
                  <c:v>1.5</c:v>
                </c:pt>
                <c:pt idx="1">
                  <c:v>2</c:v>
                </c:pt>
                <c:pt idx="2">
                  <c:v>1.5</c:v>
                </c:pt>
                <c:pt idx="3">
                  <c:v>2.5</c:v>
                </c:pt>
                <c:pt idx="4">
                  <c:v>3.5</c:v>
                </c:pt>
                <c:pt idx="5">
                  <c:v>2.2999999999999998</c:v>
                </c:pt>
                <c:pt idx="6">
                  <c:v>4.2</c:v>
                </c:pt>
                <c:pt idx="7">
                  <c:v>2.5</c:v>
                </c:pt>
              </c:numCache>
            </c:numRef>
          </c:xVal>
          <c:yVal>
            <c:numRef>
              <c:f>多元线性回归!$G$27:$G$34</c:f>
              <c:numCache>
                <c:formatCode>General</c:formatCode>
                <c:ptCount val="8"/>
                <c:pt idx="0">
                  <c:v>96.85019633064789</c:v>
                </c:pt>
                <c:pt idx="1">
                  <c:v>90.729216031412903</c:v>
                </c:pt>
                <c:pt idx="2">
                  <c:v>93.963323403967223</c:v>
                </c:pt>
                <c:pt idx="3">
                  <c:v>92.306563536659667</c:v>
                </c:pt>
                <c:pt idx="4">
                  <c:v>94.498967571592985</c:v>
                </c:pt>
                <c:pt idx="5">
                  <c:v>93.985122875905503</c:v>
                </c:pt>
                <c:pt idx="6">
                  <c:v>94.39775573759394</c:v>
                </c:pt>
                <c:pt idx="7">
                  <c:v>93.268854512219889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935968"/>
        <c:axId val="307735824"/>
      </c:scatterChart>
      <c:valAx>
        <c:axId val="398935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报纸广告费</a:t>
                </a:r>
                <a:r>
                  <a:rPr lang="en-US" altLang="zh-CN"/>
                  <a:t>/</a:t>
                </a:r>
                <a:r>
                  <a:rPr lang="zh-CN" altLang="en-US"/>
                  <a:t>千元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7735824"/>
        <c:crosses val="autoZero"/>
        <c:crossBetween val="midCat"/>
      </c:valAx>
      <c:valAx>
        <c:axId val="307735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每周的总收入</a:t>
                </a:r>
                <a:r>
                  <a:rPr lang="en-US" altLang="zh-CN"/>
                  <a:t>/</a:t>
                </a:r>
                <a:r>
                  <a:rPr lang="zh-CN" altLang="en-US"/>
                  <a:t>千元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8935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多元线性回归!$K$27:$K$34</c:f>
              <c:numCache>
                <c:formatCode>General</c:formatCode>
                <c:ptCount val="8"/>
                <c:pt idx="0">
                  <c:v>6.25</c:v>
                </c:pt>
                <c:pt idx="1">
                  <c:v>18.75</c:v>
                </c:pt>
                <c:pt idx="2">
                  <c:v>31.25</c:v>
                </c:pt>
                <c:pt idx="3">
                  <c:v>43.75</c:v>
                </c:pt>
                <c:pt idx="4">
                  <c:v>56.25</c:v>
                </c:pt>
                <c:pt idx="5">
                  <c:v>68.75</c:v>
                </c:pt>
                <c:pt idx="6">
                  <c:v>81.25</c:v>
                </c:pt>
                <c:pt idx="7">
                  <c:v>93.75</c:v>
                </c:pt>
              </c:numCache>
            </c:numRef>
          </c:xVal>
          <c:yVal>
            <c:numRef>
              <c:f>多元线性回归!$L$27:$L$34</c:f>
              <c:numCache>
                <c:formatCode>General</c:formatCode>
                <c:ptCount val="8"/>
                <c:pt idx="0">
                  <c:v>90</c:v>
                </c:pt>
                <c:pt idx="1">
                  <c:v>92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95</c:v>
                </c:pt>
                <c:pt idx="6">
                  <c:v>95</c:v>
                </c:pt>
                <c:pt idx="7">
                  <c:v>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974592"/>
        <c:axId val="397034720"/>
      </c:scatterChart>
      <c:valAx>
        <c:axId val="50497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7034720"/>
        <c:crosses val="autoZero"/>
        <c:crossBetween val="midCat"/>
      </c:valAx>
      <c:valAx>
        <c:axId val="3970347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每周的总收入</a:t>
                </a:r>
                <a:r>
                  <a:rPr lang="en-US" altLang="zh-CN"/>
                  <a:t>/</a:t>
                </a:r>
                <a:r>
                  <a:rPr lang="zh-CN" altLang="en-US"/>
                  <a:t>千元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497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027777777777777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销售额与流通率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非线性回归!$B$3:$B$11</c:f>
              <c:numCache>
                <c:formatCode>General</c:formatCode>
                <c:ptCount val="9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</c:numCache>
            </c:numRef>
          </c:xVal>
          <c:yVal>
            <c:numRef>
              <c:f>非线性回归!$C$3:$C$11</c:f>
              <c:numCache>
                <c:formatCode>General</c:formatCode>
                <c:ptCount val="9"/>
                <c:pt idx="0">
                  <c:v>7</c:v>
                </c:pt>
                <c:pt idx="1">
                  <c:v>4.8</c:v>
                </c:pt>
                <c:pt idx="2">
                  <c:v>3.6</c:v>
                </c:pt>
                <c:pt idx="3">
                  <c:v>3.1</c:v>
                </c:pt>
                <c:pt idx="4">
                  <c:v>2.7</c:v>
                </c:pt>
                <c:pt idx="5">
                  <c:v>2.5</c:v>
                </c:pt>
                <c:pt idx="6">
                  <c:v>2.4</c:v>
                </c:pt>
                <c:pt idx="7">
                  <c:v>2.2999999999999998</c:v>
                </c:pt>
                <c:pt idx="8">
                  <c:v>2.2000000000000002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636192"/>
        <c:axId val="399636752"/>
      </c:scatterChart>
      <c:valAx>
        <c:axId val="39963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9636752"/>
        <c:crosses val="autoZero"/>
        <c:crossBetween val="midCat"/>
      </c:valAx>
      <c:valAx>
        <c:axId val="39963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963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1.5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非线性回归!$B$4:$B$11</c:f>
              <c:numCache>
                <c:formatCode>General</c:formatCode>
                <c:ptCount val="8"/>
                <c:pt idx="0">
                  <c:v>4.5</c:v>
                </c:pt>
                <c:pt idx="1">
                  <c:v>7.5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19.5</c:v>
                </c:pt>
                <c:pt idx="6">
                  <c:v>22.5</c:v>
                </c:pt>
                <c:pt idx="7">
                  <c:v>25.5</c:v>
                </c:pt>
              </c:numCache>
            </c:numRef>
          </c:xVal>
          <c:yVal>
            <c:numRef>
              <c:f>非线性回归!$C$38:$C$45</c:f>
              <c:numCache>
                <c:formatCode>General</c:formatCode>
                <c:ptCount val="8"/>
                <c:pt idx="0">
                  <c:v>0.16411660623702362</c:v>
                </c:pt>
                <c:pt idx="1">
                  <c:v>-2.1827434321548544E-2</c:v>
                </c:pt>
                <c:pt idx="2">
                  <c:v>-6.9621136399303118E-2</c:v>
                </c:pt>
                <c:pt idx="3">
                  <c:v>-0.10603344298691142</c:v>
                </c:pt>
                <c:pt idx="4">
                  <c:v>-8.1256452229830689E-2</c:v>
                </c:pt>
                <c:pt idx="5">
                  <c:v>-2.0340414856876876E-2</c:v>
                </c:pt>
                <c:pt idx="6">
                  <c:v>3.8838002617536116E-2</c:v>
                </c:pt>
                <c:pt idx="7">
                  <c:v>9.6124271939911465E-2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04128"/>
        <c:axId val="508701392"/>
      </c:scatterChart>
      <c:valAx>
        <c:axId val="508804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1.5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701392"/>
        <c:crosses val="autoZero"/>
        <c:crossBetween val="midCat"/>
      </c:valAx>
      <c:valAx>
        <c:axId val="508701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0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1.5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非线性回归!$B$4:$B$11</c:f>
              <c:numCache>
                <c:formatCode>General</c:formatCode>
                <c:ptCount val="8"/>
                <c:pt idx="0">
                  <c:v>4.5</c:v>
                </c:pt>
                <c:pt idx="1">
                  <c:v>7.5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19.5</c:v>
                </c:pt>
                <c:pt idx="6">
                  <c:v>22.5</c:v>
                </c:pt>
                <c:pt idx="7">
                  <c:v>25.5</c:v>
                </c:pt>
              </c:numCache>
            </c:numRef>
          </c:xVal>
          <c:yVal>
            <c:numRef>
              <c:f>非线性回归!$D$4:$D$11</c:f>
              <c:numCache>
                <c:formatCode>General</c:formatCode>
                <c:ptCount val="8"/>
                <c:pt idx="0">
                  <c:v>1.5686159179138452</c:v>
                </c:pt>
                <c:pt idx="1">
                  <c:v>1.2809338454620642</c:v>
                </c:pt>
                <c:pt idx="2">
                  <c:v>1.1314021114911006</c:v>
                </c:pt>
                <c:pt idx="3">
                  <c:v>0.99325177301028345</c:v>
                </c:pt>
                <c:pt idx="4">
                  <c:v>0.91629073187415511</c:v>
                </c:pt>
                <c:pt idx="5">
                  <c:v>0.87546873735389985</c:v>
                </c:pt>
                <c:pt idx="6">
                  <c:v>0.83290912293510388</c:v>
                </c:pt>
                <c:pt idx="7">
                  <c:v>0.78845736036427028</c:v>
                </c:pt>
              </c:numCache>
            </c:numRef>
          </c:yVal>
          <c:smooth val="0"/>
        </c:ser>
        <c:ser>
          <c:idx val="1"/>
          <c:order val="1"/>
          <c:tx>
            <c:v>预测 1.94591014905531</c:v>
          </c:tx>
          <c:spPr>
            <a:ln w="19050">
              <a:noFill/>
            </a:ln>
          </c:spPr>
          <c:xVal>
            <c:numRef>
              <c:f>非线性回归!$B$4:$B$11</c:f>
              <c:numCache>
                <c:formatCode>General</c:formatCode>
                <c:ptCount val="8"/>
                <c:pt idx="0">
                  <c:v>4.5</c:v>
                </c:pt>
                <c:pt idx="1">
                  <c:v>7.5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19.5</c:v>
                </c:pt>
                <c:pt idx="6">
                  <c:v>22.5</c:v>
                </c:pt>
                <c:pt idx="7">
                  <c:v>25.5</c:v>
                </c:pt>
              </c:numCache>
            </c:numRef>
          </c:xVal>
          <c:yVal>
            <c:numRef>
              <c:f>非线性回归!$B$38:$B$45</c:f>
              <c:numCache>
                <c:formatCode>General</c:formatCode>
                <c:ptCount val="8"/>
                <c:pt idx="0">
                  <c:v>1.4044993116768216</c:v>
                </c:pt>
                <c:pt idx="1">
                  <c:v>1.3027612797836128</c:v>
                </c:pt>
                <c:pt idx="2">
                  <c:v>1.2010232478904037</c:v>
                </c:pt>
                <c:pt idx="3">
                  <c:v>1.0992852159971949</c:v>
                </c:pt>
                <c:pt idx="4">
                  <c:v>0.9975471841039858</c:v>
                </c:pt>
                <c:pt idx="5">
                  <c:v>0.89580915221077673</c:v>
                </c:pt>
                <c:pt idx="6">
                  <c:v>0.79407112031756777</c:v>
                </c:pt>
                <c:pt idx="7">
                  <c:v>0.69233308842435881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74432"/>
        <c:axId val="510473872"/>
      </c:scatterChart>
      <c:valAx>
        <c:axId val="51047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1.5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0473872"/>
        <c:crosses val="autoZero"/>
        <c:crossBetween val="midCat"/>
      </c:valAx>
      <c:valAx>
        <c:axId val="510473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1.94591014905531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0474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非线性回归!$F$38:$F$45</c:f>
              <c:numCache>
                <c:formatCode>General</c:formatCode>
                <c:ptCount val="8"/>
                <c:pt idx="0">
                  <c:v>6.25</c:v>
                </c:pt>
                <c:pt idx="1">
                  <c:v>18.75</c:v>
                </c:pt>
                <c:pt idx="2">
                  <c:v>31.25</c:v>
                </c:pt>
                <c:pt idx="3">
                  <c:v>43.75</c:v>
                </c:pt>
                <c:pt idx="4">
                  <c:v>56.25</c:v>
                </c:pt>
                <c:pt idx="5">
                  <c:v>68.75</c:v>
                </c:pt>
                <c:pt idx="6">
                  <c:v>81.25</c:v>
                </c:pt>
                <c:pt idx="7">
                  <c:v>93.75</c:v>
                </c:pt>
              </c:numCache>
            </c:numRef>
          </c:xVal>
          <c:yVal>
            <c:numRef>
              <c:f>非线性回归!$G$38:$G$45</c:f>
              <c:numCache>
                <c:formatCode>General</c:formatCode>
                <c:ptCount val="8"/>
                <c:pt idx="0">
                  <c:v>0.78845736036427028</c:v>
                </c:pt>
                <c:pt idx="1">
                  <c:v>0.83290912293510388</c:v>
                </c:pt>
                <c:pt idx="2">
                  <c:v>0.87546873735389985</c:v>
                </c:pt>
                <c:pt idx="3">
                  <c:v>0.91629073187415511</c:v>
                </c:pt>
                <c:pt idx="4">
                  <c:v>0.99325177301028345</c:v>
                </c:pt>
                <c:pt idx="5">
                  <c:v>1.1314021114911006</c:v>
                </c:pt>
                <c:pt idx="6">
                  <c:v>1.2809338454620642</c:v>
                </c:pt>
                <c:pt idx="7">
                  <c:v>1.5686159179138452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28656"/>
        <c:axId val="503392112"/>
      </c:scatterChart>
      <c:valAx>
        <c:axId val="509628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3392112"/>
        <c:crosses val="autoZero"/>
        <c:crossBetween val="midCat"/>
      </c:valAx>
      <c:valAx>
        <c:axId val="5033921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1.94591014905531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962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0.405465108108164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非线性回归!$E$4:$E$11</c:f>
              <c:numCache>
                <c:formatCode>General</c:formatCode>
                <c:ptCount val="8"/>
                <c:pt idx="0">
                  <c:v>1.5040773967762742</c:v>
                </c:pt>
                <c:pt idx="1">
                  <c:v>2.0149030205422647</c:v>
                </c:pt>
                <c:pt idx="2">
                  <c:v>2.3513752571634776</c:v>
                </c:pt>
                <c:pt idx="3">
                  <c:v>2.6026896854443837</c:v>
                </c:pt>
                <c:pt idx="4">
                  <c:v>2.8033603809065348</c:v>
                </c:pt>
                <c:pt idx="5">
                  <c:v>2.9704144655697009</c:v>
                </c:pt>
                <c:pt idx="6">
                  <c:v>3.1135153092103742</c:v>
                </c:pt>
                <c:pt idx="7">
                  <c:v>3.2386784521643803</c:v>
                </c:pt>
              </c:numCache>
            </c:numRef>
          </c:xVal>
          <c:yVal>
            <c:numRef>
              <c:f>非线性回归!$C$73:$C$80</c:f>
              <c:numCache>
                <c:formatCode>General</c:formatCode>
                <c:ptCount val="8"/>
                <c:pt idx="0">
                  <c:v>0.29699342601541723</c:v>
                </c:pt>
                <c:pt idx="1">
                  <c:v>-0.16214363597095094</c:v>
                </c:pt>
                <c:pt idx="2">
                  <c:v>-0.17414969403548364</c:v>
                </c:pt>
                <c:pt idx="3">
                  <c:v>-0.20966221134275598</c:v>
                </c:pt>
                <c:pt idx="4">
                  <c:v>-0.11862457717459751</c:v>
                </c:pt>
                <c:pt idx="5">
                  <c:v>2.3658061386673257E-2</c:v>
                </c:pt>
                <c:pt idx="6">
                  <c:v>0.13120072667087523</c:v>
                </c:pt>
                <c:pt idx="7">
                  <c:v>0.2127279044508299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29312"/>
        <c:axId val="507627632"/>
      </c:scatterChart>
      <c:valAx>
        <c:axId val="5076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0.405465108108164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7627632"/>
        <c:crosses val="autoZero"/>
        <c:crossBetween val="midCat"/>
      </c:valAx>
      <c:valAx>
        <c:axId val="5076276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762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0.405465108108164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非线性回归!$E$4:$E$11</c:f>
              <c:numCache>
                <c:formatCode>General</c:formatCode>
                <c:ptCount val="8"/>
                <c:pt idx="0">
                  <c:v>1.5040773967762742</c:v>
                </c:pt>
                <c:pt idx="1">
                  <c:v>2.0149030205422647</c:v>
                </c:pt>
                <c:pt idx="2">
                  <c:v>2.3513752571634776</c:v>
                </c:pt>
                <c:pt idx="3">
                  <c:v>2.6026896854443837</c:v>
                </c:pt>
                <c:pt idx="4">
                  <c:v>2.8033603809065348</c:v>
                </c:pt>
                <c:pt idx="5">
                  <c:v>2.9704144655697009</c:v>
                </c:pt>
                <c:pt idx="6">
                  <c:v>3.1135153092103742</c:v>
                </c:pt>
                <c:pt idx="7">
                  <c:v>3.2386784521643803</c:v>
                </c:pt>
              </c:numCache>
            </c:numRef>
          </c:xVal>
          <c:yVal>
            <c:numRef>
              <c:f>非线性回归!$C$4:$C$11</c:f>
              <c:numCache>
                <c:formatCode>General</c:formatCode>
                <c:ptCount val="8"/>
                <c:pt idx="0">
                  <c:v>4.8</c:v>
                </c:pt>
                <c:pt idx="1">
                  <c:v>3.6</c:v>
                </c:pt>
                <c:pt idx="2">
                  <c:v>3.1</c:v>
                </c:pt>
                <c:pt idx="3">
                  <c:v>2.7</c:v>
                </c:pt>
                <c:pt idx="4">
                  <c:v>2.5</c:v>
                </c:pt>
                <c:pt idx="5">
                  <c:v>2.4</c:v>
                </c:pt>
                <c:pt idx="6">
                  <c:v>2.2999999999999998</c:v>
                </c:pt>
                <c:pt idx="7">
                  <c:v>2.2000000000000002</c:v>
                </c:pt>
              </c:numCache>
            </c:numRef>
          </c:yVal>
          <c:smooth val="0"/>
        </c:ser>
        <c:ser>
          <c:idx val="1"/>
          <c:order val="1"/>
          <c:tx>
            <c:v>预测 7</c:v>
          </c:tx>
          <c:spPr>
            <a:ln w="19050">
              <a:noFill/>
            </a:ln>
          </c:spPr>
          <c:xVal>
            <c:numRef>
              <c:f>非线性回归!$E$4:$E$11</c:f>
              <c:numCache>
                <c:formatCode>General</c:formatCode>
                <c:ptCount val="8"/>
                <c:pt idx="0">
                  <c:v>1.5040773967762742</c:v>
                </c:pt>
                <c:pt idx="1">
                  <c:v>2.0149030205422647</c:v>
                </c:pt>
                <c:pt idx="2">
                  <c:v>2.3513752571634776</c:v>
                </c:pt>
                <c:pt idx="3">
                  <c:v>2.6026896854443837</c:v>
                </c:pt>
                <c:pt idx="4">
                  <c:v>2.8033603809065348</c:v>
                </c:pt>
                <c:pt idx="5">
                  <c:v>2.9704144655697009</c:v>
                </c:pt>
                <c:pt idx="6">
                  <c:v>3.1135153092103742</c:v>
                </c:pt>
                <c:pt idx="7">
                  <c:v>3.2386784521643803</c:v>
                </c:pt>
              </c:numCache>
            </c:numRef>
          </c:xVal>
          <c:yVal>
            <c:numRef>
              <c:f>非线性回归!$B$73:$B$80</c:f>
              <c:numCache>
                <c:formatCode>General</c:formatCode>
                <c:ptCount val="8"/>
                <c:pt idx="0">
                  <c:v>4.5030065739845826</c:v>
                </c:pt>
                <c:pt idx="1">
                  <c:v>3.762143635970951</c:v>
                </c:pt>
                <c:pt idx="2">
                  <c:v>3.2741496940354837</c:v>
                </c:pt>
                <c:pt idx="3">
                  <c:v>2.9096622113427562</c:v>
                </c:pt>
                <c:pt idx="4">
                  <c:v>2.6186245771745975</c:v>
                </c:pt>
                <c:pt idx="5">
                  <c:v>2.3763419386133267</c:v>
                </c:pt>
                <c:pt idx="6">
                  <c:v>2.1687992733291246</c:v>
                </c:pt>
                <c:pt idx="7">
                  <c:v>1.9872720955491703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715440"/>
        <c:axId val="508714880"/>
      </c:scatterChart>
      <c:valAx>
        <c:axId val="508715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0.405465108108164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714880"/>
        <c:crosses val="autoZero"/>
        <c:crossBetween val="midCat"/>
      </c:valAx>
      <c:valAx>
        <c:axId val="508714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7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715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非线性回归!$F$73:$F$80</c:f>
              <c:numCache>
                <c:formatCode>General</c:formatCode>
                <c:ptCount val="8"/>
                <c:pt idx="0">
                  <c:v>6.25</c:v>
                </c:pt>
                <c:pt idx="1">
                  <c:v>18.75</c:v>
                </c:pt>
                <c:pt idx="2">
                  <c:v>31.25</c:v>
                </c:pt>
                <c:pt idx="3">
                  <c:v>43.75</c:v>
                </c:pt>
                <c:pt idx="4">
                  <c:v>56.25</c:v>
                </c:pt>
                <c:pt idx="5">
                  <c:v>68.75</c:v>
                </c:pt>
                <c:pt idx="6">
                  <c:v>81.25</c:v>
                </c:pt>
                <c:pt idx="7">
                  <c:v>93.75</c:v>
                </c:pt>
              </c:numCache>
            </c:numRef>
          </c:xVal>
          <c:yVal>
            <c:numRef>
              <c:f>非线性回归!$G$73:$G$80</c:f>
              <c:numCache>
                <c:formatCode>General</c:formatCode>
                <c:ptCount val="8"/>
                <c:pt idx="0">
                  <c:v>2.2000000000000002</c:v>
                </c:pt>
                <c:pt idx="1">
                  <c:v>2.2999999999999998</c:v>
                </c:pt>
                <c:pt idx="2">
                  <c:v>2.4</c:v>
                </c:pt>
                <c:pt idx="3">
                  <c:v>2.5</c:v>
                </c:pt>
                <c:pt idx="4">
                  <c:v>2.7</c:v>
                </c:pt>
                <c:pt idx="5">
                  <c:v>3.1</c:v>
                </c:pt>
                <c:pt idx="6">
                  <c:v>3.6</c:v>
                </c:pt>
                <c:pt idx="7">
                  <c:v>4.8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28752"/>
        <c:axId val="663723680"/>
      </c:scatterChart>
      <c:valAx>
        <c:axId val="507628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3723680"/>
        <c:crosses val="autoZero"/>
        <c:crossBetween val="midCat"/>
      </c:valAx>
      <c:valAx>
        <c:axId val="6637236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7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762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0.405465108108164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非线性回归!$E$4:$E$11</c:f>
              <c:numCache>
                <c:formatCode>General</c:formatCode>
                <c:ptCount val="8"/>
                <c:pt idx="0">
                  <c:v>1.5040773967762742</c:v>
                </c:pt>
                <c:pt idx="1">
                  <c:v>2.0149030205422647</c:v>
                </c:pt>
                <c:pt idx="2">
                  <c:v>2.3513752571634776</c:v>
                </c:pt>
                <c:pt idx="3">
                  <c:v>2.6026896854443837</c:v>
                </c:pt>
                <c:pt idx="4">
                  <c:v>2.8033603809065348</c:v>
                </c:pt>
                <c:pt idx="5">
                  <c:v>2.9704144655697009</c:v>
                </c:pt>
                <c:pt idx="6">
                  <c:v>3.1135153092103742</c:v>
                </c:pt>
                <c:pt idx="7">
                  <c:v>3.2386784521643803</c:v>
                </c:pt>
              </c:numCache>
            </c:numRef>
          </c:xVal>
          <c:yVal>
            <c:numRef>
              <c:f>非线性回归!$C$108:$C$115</c:f>
              <c:numCache>
                <c:formatCode>General</c:formatCode>
                <c:ptCount val="8"/>
                <c:pt idx="0">
                  <c:v>4.1877531300523074E-2</c:v>
                </c:pt>
                <c:pt idx="1">
                  <c:v>-1.7620587270913424E-2</c:v>
                </c:pt>
                <c:pt idx="2">
                  <c:v>-1.6851393192968134E-2</c:v>
                </c:pt>
                <c:pt idx="3">
                  <c:v>-4.2740487827909401E-2</c:v>
                </c:pt>
                <c:pt idx="4">
                  <c:v>-3.0062656933905529E-2</c:v>
                </c:pt>
                <c:pt idx="5">
                  <c:v>3.7378024260412701E-3</c:v>
                </c:pt>
                <c:pt idx="6">
                  <c:v>2.5100815977255331E-2</c:v>
                </c:pt>
                <c:pt idx="7">
                  <c:v>3.6558975521877923E-2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60608"/>
        <c:axId val="409302960"/>
      </c:scatterChart>
      <c:valAx>
        <c:axId val="509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0.405465108108164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302960"/>
        <c:crosses val="autoZero"/>
        <c:crossBetween val="midCat"/>
      </c:valAx>
      <c:valAx>
        <c:axId val="409302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926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0.405465108108164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非线性回归!$E$4:$E$11</c:f>
              <c:numCache>
                <c:formatCode>General</c:formatCode>
                <c:ptCount val="8"/>
                <c:pt idx="0">
                  <c:v>1.5040773967762742</c:v>
                </c:pt>
                <c:pt idx="1">
                  <c:v>2.0149030205422647</c:v>
                </c:pt>
                <c:pt idx="2">
                  <c:v>2.3513752571634776</c:v>
                </c:pt>
                <c:pt idx="3">
                  <c:v>2.6026896854443837</c:v>
                </c:pt>
                <c:pt idx="4">
                  <c:v>2.8033603809065348</c:v>
                </c:pt>
                <c:pt idx="5">
                  <c:v>2.9704144655697009</c:v>
                </c:pt>
                <c:pt idx="6">
                  <c:v>3.1135153092103742</c:v>
                </c:pt>
                <c:pt idx="7">
                  <c:v>3.2386784521643803</c:v>
                </c:pt>
              </c:numCache>
            </c:numRef>
          </c:xVal>
          <c:yVal>
            <c:numRef>
              <c:f>非线性回归!$D$4:$D$11</c:f>
              <c:numCache>
                <c:formatCode>General</c:formatCode>
                <c:ptCount val="8"/>
                <c:pt idx="0">
                  <c:v>1.5686159179138452</c:v>
                </c:pt>
                <c:pt idx="1">
                  <c:v>1.2809338454620642</c:v>
                </c:pt>
                <c:pt idx="2">
                  <c:v>1.1314021114911006</c:v>
                </c:pt>
                <c:pt idx="3">
                  <c:v>0.99325177301028345</c:v>
                </c:pt>
                <c:pt idx="4">
                  <c:v>0.91629073187415511</c:v>
                </c:pt>
                <c:pt idx="5">
                  <c:v>0.87546873735389985</c:v>
                </c:pt>
                <c:pt idx="6">
                  <c:v>0.83290912293510388</c:v>
                </c:pt>
                <c:pt idx="7">
                  <c:v>0.78845736036427028</c:v>
                </c:pt>
              </c:numCache>
            </c:numRef>
          </c:yVal>
          <c:smooth val="0"/>
        </c:ser>
        <c:ser>
          <c:idx val="1"/>
          <c:order val="1"/>
          <c:tx>
            <c:v>预测 1.94591014905531</c:v>
          </c:tx>
          <c:spPr>
            <a:ln w="19050">
              <a:noFill/>
            </a:ln>
          </c:spPr>
          <c:xVal>
            <c:numRef>
              <c:f>非线性回归!$E$4:$E$11</c:f>
              <c:numCache>
                <c:formatCode>General</c:formatCode>
                <c:ptCount val="8"/>
                <c:pt idx="0">
                  <c:v>1.5040773967762742</c:v>
                </c:pt>
                <c:pt idx="1">
                  <c:v>2.0149030205422647</c:v>
                </c:pt>
                <c:pt idx="2">
                  <c:v>2.3513752571634776</c:v>
                </c:pt>
                <c:pt idx="3">
                  <c:v>2.6026896854443837</c:v>
                </c:pt>
                <c:pt idx="4">
                  <c:v>2.8033603809065348</c:v>
                </c:pt>
                <c:pt idx="5">
                  <c:v>2.9704144655697009</c:v>
                </c:pt>
                <c:pt idx="6">
                  <c:v>3.1135153092103742</c:v>
                </c:pt>
                <c:pt idx="7">
                  <c:v>3.2386784521643803</c:v>
                </c:pt>
              </c:numCache>
            </c:numRef>
          </c:xVal>
          <c:yVal>
            <c:numRef>
              <c:f>非线性回归!$B$108:$B$115</c:f>
              <c:numCache>
                <c:formatCode>General</c:formatCode>
                <c:ptCount val="8"/>
                <c:pt idx="0">
                  <c:v>1.5267383866133222</c:v>
                </c:pt>
                <c:pt idx="1">
                  <c:v>1.2985544327329777</c:v>
                </c:pt>
                <c:pt idx="2">
                  <c:v>1.1482535046840687</c:v>
                </c:pt>
                <c:pt idx="3">
                  <c:v>1.0359922608381928</c:v>
                </c:pt>
                <c:pt idx="4">
                  <c:v>0.94635338880806064</c:v>
                </c:pt>
                <c:pt idx="5">
                  <c:v>0.87173093492785858</c:v>
                </c:pt>
                <c:pt idx="6">
                  <c:v>0.80780830695784855</c:v>
                </c:pt>
                <c:pt idx="7">
                  <c:v>0.75189838484239235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7920"/>
        <c:axId val="408367360"/>
      </c:scatterChart>
      <c:valAx>
        <c:axId val="408367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0.405465108108164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8367360"/>
        <c:crosses val="autoZero"/>
        <c:crossBetween val="midCat"/>
      </c:valAx>
      <c:valAx>
        <c:axId val="4083673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1.94591014905531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8367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非线性回归!$F$108:$F$115</c:f>
              <c:numCache>
                <c:formatCode>General</c:formatCode>
                <c:ptCount val="8"/>
                <c:pt idx="0">
                  <c:v>6.25</c:v>
                </c:pt>
                <c:pt idx="1">
                  <c:v>18.75</c:v>
                </c:pt>
                <c:pt idx="2">
                  <c:v>31.25</c:v>
                </c:pt>
                <c:pt idx="3">
                  <c:v>43.75</c:v>
                </c:pt>
                <c:pt idx="4">
                  <c:v>56.25</c:v>
                </c:pt>
                <c:pt idx="5">
                  <c:v>68.75</c:v>
                </c:pt>
                <c:pt idx="6">
                  <c:v>81.25</c:v>
                </c:pt>
                <c:pt idx="7">
                  <c:v>93.75</c:v>
                </c:pt>
              </c:numCache>
            </c:numRef>
          </c:xVal>
          <c:yVal>
            <c:numRef>
              <c:f>非线性回归!$G$108:$G$115</c:f>
              <c:numCache>
                <c:formatCode>General</c:formatCode>
                <c:ptCount val="8"/>
                <c:pt idx="0">
                  <c:v>0.78845736036427028</c:v>
                </c:pt>
                <c:pt idx="1">
                  <c:v>0.83290912293510388</c:v>
                </c:pt>
                <c:pt idx="2">
                  <c:v>0.87546873735389985</c:v>
                </c:pt>
                <c:pt idx="3">
                  <c:v>0.91629073187415511</c:v>
                </c:pt>
                <c:pt idx="4">
                  <c:v>0.99325177301028345</c:v>
                </c:pt>
                <c:pt idx="5">
                  <c:v>1.1314021114911006</c:v>
                </c:pt>
                <c:pt idx="6">
                  <c:v>1.2809338454620642</c:v>
                </c:pt>
                <c:pt idx="7">
                  <c:v>1.5686159179138452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01840"/>
        <c:axId val="659765856"/>
      </c:scatterChart>
      <c:valAx>
        <c:axId val="409301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9765856"/>
        <c:crosses val="autoZero"/>
        <c:crossBetween val="midCat"/>
      </c:valAx>
      <c:valAx>
        <c:axId val="6597658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1.94591014905531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30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X Variable 1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非线性回归!$G$3:$G$11</c:f>
              <c:numCache>
                <c:formatCode>General</c:formatCode>
                <c:ptCount val="9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</c:numCache>
            </c:numRef>
          </c:xVal>
          <c:yVal>
            <c:numRef>
              <c:f>非线性回归!$C$145:$C$153</c:f>
              <c:numCache>
                <c:formatCode>General</c:formatCode>
                <c:ptCount val="9"/>
                <c:pt idx="0">
                  <c:v>0.10202020202020456</c:v>
                </c:pt>
                <c:pt idx="1">
                  <c:v>-0.16010101010100986</c:v>
                </c:pt>
                <c:pt idx="2">
                  <c:v>-9.538239538239468E-2</c:v>
                </c:pt>
                <c:pt idx="3">
                  <c:v>0.14112554112554099</c:v>
                </c:pt>
                <c:pt idx="4">
                  <c:v>9.4372294372294441E-2</c:v>
                </c:pt>
                <c:pt idx="5">
                  <c:v>9.3073593073587091E-3</c:v>
                </c:pt>
                <c:pt idx="6">
                  <c:v>-6.9119769119769803E-2</c:v>
                </c:pt>
                <c:pt idx="7">
                  <c:v>-9.5959595959597799E-2</c:v>
                </c:pt>
                <c:pt idx="8">
                  <c:v>7.373737373736855E-2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728896"/>
        <c:axId val="408366800"/>
      </c:scatterChart>
      <c:valAx>
        <c:axId val="663728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Variable 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8366800"/>
        <c:crosses val="autoZero"/>
        <c:crossBetween val="midCat"/>
      </c:valAx>
      <c:valAx>
        <c:axId val="4083668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372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X Variable 2 Residual Plot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055822883250705"/>
          <c:y val="0.33756453520233048"/>
          <c:w val="0.77745115193934089"/>
          <c:h val="0.4997611836981915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非线性回归!$H$3:$H$11</c:f>
              <c:numCache>
                <c:formatCode>General</c:formatCode>
                <c:ptCount val="9"/>
                <c:pt idx="0">
                  <c:v>2.25</c:v>
                </c:pt>
                <c:pt idx="1">
                  <c:v>20.25</c:v>
                </c:pt>
                <c:pt idx="2">
                  <c:v>56.25</c:v>
                </c:pt>
                <c:pt idx="3">
                  <c:v>110.25</c:v>
                </c:pt>
                <c:pt idx="4">
                  <c:v>182.25</c:v>
                </c:pt>
                <c:pt idx="5">
                  <c:v>272.25</c:v>
                </c:pt>
                <c:pt idx="6">
                  <c:v>380.25</c:v>
                </c:pt>
                <c:pt idx="7">
                  <c:v>506.25</c:v>
                </c:pt>
                <c:pt idx="8">
                  <c:v>650.25</c:v>
                </c:pt>
              </c:numCache>
            </c:numRef>
          </c:xVal>
          <c:yVal>
            <c:numRef>
              <c:f>非线性回归!$C$145:$C$153</c:f>
              <c:numCache>
                <c:formatCode>General</c:formatCode>
                <c:ptCount val="9"/>
                <c:pt idx="0">
                  <c:v>0.10202020202020456</c:v>
                </c:pt>
                <c:pt idx="1">
                  <c:v>-0.16010101010100986</c:v>
                </c:pt>
                <c:pt idx="2">
                  <c:v>-9.538239538239468E-2</c:v>
                </c:pt>
                <c:pt idx="3">
                  <c:v>0.14112554112554099</c:v>
                </c:pt>
                <c:pt idx="4">
                  <c:v>9.4372294372294441E-2</c:v>
                </c:pt>
                <c:pt idx="5">
                  <c:v>9.3073593073587091E-3</c:v>
                </c:pt>
                <c:pt idx="6">
                  <c:v>-6.9119769119769803E-2</c:v>
                </c:pt>
                <c:pt idx="7">
                  <c:v>-9.5959595959597799E-2</c:v>
                </c:pt>
                <c:pt idx="8">
                  <c:v>7.373737373736855E-2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722560"/>
        <c:axId val="509438640"/>
      </c:scatterChart>
      <c:valAx>
        <c:axId val="663722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Variable 2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9438640"/>
        <c:crosses val="autoZero"/>
        <c:crossBetween val="midCat"/>
      </c:valAx>
      <c:valAx>
        <c:axId val="509438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372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X Variable 3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非线性回归!$I$3:$I$11</c:f>
              <c:numCache>
                <c:formatCode>General</c:formatCode>
                <c:ptCount val="9"/>
                <c:pt idx="0">
                  <c:v>3.375</c:v>
                </c:pt>
                <c:pt idx="1">
                  <c:v>91.125</c:v>
                </c:pt>
                <c:pt idx="2">
                  <c:v>421.875</c:v>
                </c:pt>
                <c:pt idx="3">
                  <c:v>1157.625</c:v>
                </c:pt>
                <c:pt idx="4">
                  <c:v>2460.375</c:v>
                </c:pt>
                <c:pt idx="5">
                  <c:v>4492.125</c:v>
                </c:pt>
                <c:pt idx="6">
                  <c:v>7414.875</c:v>
                </c:pt>
                <c:pt idx="7">
                  <c:v>11390.625</c:v>
                </c:pt>
                <c:pt idx="8">
                  <c:v>16581.375</c:v>
                </c:pt>
              </c:numCache>
            </c:numRef>
          </c:xVal>
          <c:yVal>
            <c:numRef>
              <c:f>非线性回归!$C$145:$C$153</c:f>
              <c:numCache>
                <c:formatCode>General</c:formatCode>
                <c:ptCount val="9"/>
                <c:pt idx="0">
                  <c:v>0.10202020202020456</c:v>
                </c:pt>
                <c:pt idx="1">
                  <c:v>-0.16010101010100986</c:v>
                </c:pt>
                <c:pt idx="2">
                  <c:v>-9.538239538239468E-2</c:v>
                </c:pt>
                <c:pt idx="3">
                  <c:v>0.14112554112554099</c:v>
                </c:pt>
                <c:pt idx="4">
                  <c:v>9.4372294372294441E-2</c:v>
                </c:pt>
                <c:pt idx="5">
                  <c:v>9.3073593073587091E-3</c:v>
                </c:pt>
                <c:pt idx="6">
                  <c:v>-6.9119769119769803E-2</c:v>
                </c:pt>
                <c:pt idx="7">
                  <c:v>-9.5959595959597799E-2</c:v>
                </c:pt>
                <c:pt idx="8">
                  <c:v>7.373737373736855E-2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54688"/>
        <c:axId val="513753568"/>
      </c:scatterChart>
      <c:valAx>
        <c:axId val="513754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Variable 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753568"/>
        <c:crosses val="autoZero"/>
        <c:crossBetween val="midCat"/>
      </c:valAx>
      <c:valAx>
        <c:axId val="5137535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残差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75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X Variable 1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非线性回归!$G$3:$G$11</c:f>
              <c:numCache>
                <c:formatCode>General</c:formatCode>
                <c:ptCount val="9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</c:numCache>
            </c:numRef>
          </c:xVal>
          <c:yVal>
            <c:numRef>
              <c:f>非线性回归!$C$3:$C$11</c:f>
              <c:numCache>
                <c:formatCode>General</c:formatCode>
                <c:ptCount val="9"/>
                <c:pt idx="0">
                  <c:v>7</c:v>
                </c:pt>
                <c:pt idx="1">
                  <c:v>4.8</c:v>
                </c:pt>
                <c:pt idx="2">
                  <c:v>3.6</c:v>
                </c:pt>
                <c:pt idx="3">
                  <c:v>3.1</c:v>
                </c:pt>
                <c:pt idx="4">
                  <c:v>2.7</c:v>
                </c:pt>
                <c:pt idx="5">
                  <c:v>2.5</c:v>
                </c:pt>
                <c:pt idx="6">
                  <c:v>2.4</c:v>
                </c:pt>
                <c:pt idx="7">
                  <c:v>2.2999999999999998</c:v>
                </c:pt>
                <c:pt idx="8">
                  <c:v>2.2000000000000002</c:v>
                </c:pt>
              </c:numCache>
            </c:numRef>
          </c:yVal>
          <c:smooth val="0"/>
        </c:ser>
        <c:ser>
          <c:idx val="1"/>
          <c:order val="1"/>
          <c:tx>
            <c:v>预测 Y</c:v>
          </c:tx>
          <c:spPr>
            <a:ln w="19050">
              <a:noFill/>
            </a:ln>
          </c:spPr>
          <c:xVal>
            <c:numRef>
              <c:f>非线性回归!$G$3:$G$11</c:f>
              <c:numCache>
                <c:formatCode>General</c:formatCode>
                <c:ptCount val="9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</c:numCache>
            </c:numRef>
          </c:xVal>
          <c:yVal>
            <c:numRef>
              <c:f>非线性回归!$B$145:$B$153</c:f>
              <c:numCache>
                <c:formatCode>General</c:formatCode>
                <c:ptCount val="9"/>
                <c:pt idx="0">
                  <c:v>6.8979797979797954</c:v>
                </c:pt>
                <c:pt idx="1">
                  <c:v>4.9601010101010097</c:v>
                </c:pt>
                <c:pt idx="2">
                  <c:v>3.6953823953823948</c:v>
                </c:pt>
                <c:pt idx="3">
                  <c:v>2.9588744588744591</c:v>
                </c:pt>
                <c:pt idx="4">
                  <c:v>2.6056277056277057</c:v>
                </c:pt>
                <c:pt idx="5">
                  <c:v>2.4906926406926413</c:v>
                </c:pt>
                <c:pt idx="6">
                  <c:v>2.4691197691197697</c:v>
                </c:pt>
                <c:pt idx="7">
                  <c:v>2.3959595959595976</c:v>
                </c:pt>
                <c:pt idx="8">
                  <c:v>2.1262626262626316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374384"/>
        <c:axId val="513751328"/>
      </c:scatterChart>
      <c:valAx>
        <c:axId val="515374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Variable 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751328"/>
        <c:crosses val="autoZero"/>
        <c:crossBetween val="midCat"/>
      </c:valAx>
      <c:valAx>
        <c:axId val="5137513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3743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X Variable 2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非线性回归!$H$3:$H$11</c:f>
              <c:numCache>
                <c:formatCode>General</c:formatCode>
                <c:ptCount val="9"/>
                <c:pt idx="0">
                  <c:v>2.25</c:v>
                </c:pt>
                <c:pt idx="1">
                  <c:v>20.25</c:v>
                </c:pt>
                <c:pt idx="2">
                  <c:v>56.25</c:v>
                </c:pt>
                <c:pt idx="3">
                  <c:v>110.25</c:v>
                </c:pt>
                <c:pt idx="4">
                  <c:v>182.25</c:v>
                </c:pt>
                <c:pt idx="5">
                  <c:v>272.25</c:v>
                </c:pt>
                <c:pt idx="6">
                  <c:v>380.25</c:v>
                </c:pt>
                <c:pt idx="7">
                  <c:v>506.25</c:v>
                </c:pt>
                <c:pt idx="8">
                  <c:v>650.25</c:v>
                </c:pt>
              </c:numCache>
            </c:numRef>
          </c:xVal>
          <c:yVal>
            <c:numRef>
              <c:f>非线性回归!$C$3:$C$11</c:f>
              <c:numCache>
                <c:formatCode>General</c:formatCode>
                <c:ptCount val="9"/>
                <c:pt idx="0">
                  <c:v>7</c:v>
                </c:pt>
                <c:pt idx="1">
                  <c:v>4.8</c:v>
                </c:pt>
                <c:pt idx="2">
                  <c:v>3.6</c:v>
                </c:pt>
                <c:pt idx="3">
                  <c:v>3.1</c:v>
                </c:pt>
                <c:pt idx="4">
                  <c:v>2.7</c:v>
                </c:pt>
                <c:pt idx="5">
                  <c:v>2.5</c:v>
                </c:pt>
                <c:pt idx="6">
                  <c:v>2.4</c:v>
                </c:pt>
                <c:pt idx="7">
                  <c:v>2.2999999999999998</c:v>
                </c:pt>
                <c:pt idx="8">
                  <c:v>2.2000000000000002</c:v>
                </c:pt>
              </c:numCache>
            </c:numRef>
          </c:yVal>
          <c:smooth val="0"/>
        </c:ser>
        <c:ser>
          <c:idx val="1"/>
          <c:order val="1"/>
          <c:tx>
            <c:v>预测 Y</c:v>
          </c:tx>
          <c:spPr>
            <a:ln w="19050">
              <a:noFill/>
            </a:ln>
          </c:spPr>
          <c:xVal>
            <c:numRef>
              <c:f>非线性回归!$H$3:$H$11</c:f>
              <c:numCache>
                <c:formatCode>General</c:formatCode>
                <c:ptCount val="9"/>
                <c:pt idx="0">
                  <c:v>2.25</c:v>
                </c:pt>
                <c:pt idx="1">
                  <c:v>20.25</c:v>
                </c:pt>
                <c:pt idx="2">
                  <c:v>56.25</c:v>
                </c:pt>
                <c:pt idx="3">
                  <c:v>110.25</c:v>
                </c:pt>
                <c:pt idx="4">
                  <c:v>182.25</c:v>
                </c:pt>
                <c:pt idx="5">
                  <c:v>272.25</c:v>
                </c:pt>
                <c:pt idx="6">
                  <c:v>380.25</c:v>
                </c:pt>
                <c:pt idx="7">
                  <c:v>506.25</c:v>
                </c:pt>
                <c:pt idx="8">
                  <c:v>650.25</c:v>
                </c:pt>
              </c:numCache>
            </c:numRef>
          </c:xVal>
          <c:yVal>
            <c:numRef>
              <c:f>非线性回归!$B$145:$B$153</c:f>
              <c:numCache>
                <c:formatCode>General</c:formatCode>
                <c:ptCount val="9"/>
                <c:pt idx="0">
                  <c:v>6.8979797979797954</c:v>
                </c:pt>
                <c:pt idx="1">
                  <c:v>4.9601010101010097</c:v>
                </c:pt>
                <c:pt idx="2">
                  <c:v>3.6953823953823948</c:v>
                </c:pt>
                <c:pt idx="3">
                  <c:v>2.9588744588744591</c:v>
                </c:pt>
                <c:pt idx="4">
                  <c:v>2.6056277056277057</c:v>
                </c:pt>
                <c:pt idx="5">
                  <c:v>2.4906926406926413</c:v>
                </c:pt>
                <c:pt idx="6">
                  <c:v>2.4691197691197697</c:v>
                </c:pt>
                <c:pt idx="7">
                  <c:v>2.3959595959595976</c:v>
                </c:pt>
                <c:pt idx="8">
                  <c:v>2.1262626262626316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380544"/>
        <c:axId val="515377744"/>
      </c:scatterChart>
      <c:valAx>
        <c:axId val="51538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Variable 2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377744"/>
        <c:crosses val="autoZero"/>
        <c:crossBetween val="midCat"/>
      </c:valAx>
      <c:valAx>
        <c:axId val="515377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380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X Variable 3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非线性回归!$I$3:$I$11</c:f>
              <c:numCache>
                <c:formatCode>General</c:formatCode>
                <c:ptCount val="9"/>
                <c:pt idx="0">
                  <c:v>3.375</c:v>
                </c:pt>
                <c:pt idx="1">
                  <c:v>91.125</c:v>
                </c:pt>
                <c:pt idx="2">
                  <c:v>421.875</c:v>
                </c:pt>
                <c:pt idx="3">
                  <c:v>1157.625</c:v>
                </c:pt>
                <c:pt idx="4">
                  <c:v>2460.375</c:v>
                </c:pt>
                <c:pt idx="5">
                  <c:v>4492.125</c:v>
                </c:pt>
                <c:pt idx="6">
                  <c:v>7414.875</c:v>
                </c:pt>
                <c:pt idx="7">
                  <c:v>11390.625</c:v>
                </c:pt>
                <c:pt idx="8">
                  <c:v>16581.375</c:v>
                </c:pt>
              </c:numCache>
            </c:numRef>
          </c:xVal>
          <c:yVal>
            <c:numRef>
              <c:f>非线性回归!$C$3:$C$11</c:f>
              <c:numCache>
                <c:formatCode>General</c:formatCode>
                <c:ptCount val="9"/>
                <c:pt idx="0">
                  <c:v>7</c:v>
                </c:pt>
                <c:pt idx="1">
                  <c:v>4.8</c:v>
                </c:pt>
                <c:pt idx="2">
                  <c:v>3.6</c:v>
                </c:pt>
                <c:pt idx="3">
                  <c:v>3.1</c:v>
                </c:pt>
                <c:pt idx="4">
                  <c:v>2.7</c:v>
                </c:pt>
                <c:pt idx="5">
                  <c:v>2.5</c:v>
                </c:pt>
                <c:pt idx="6">
                  <c:v>2.4</c:v>
                </c:pt>
                <c:pt idx="7">
                  <c:v>2.2999999999999998</c:v>
                </c:pt>
                <c:pt idx="8">
                  <c:v>2.2000000000000002</c:v>
                </c:pt>
              </c:numCache>
            </c:numRef>
          </c:yVal>
          <c:smooth val="0"/>
        </c:ser>
        <c:ser>
          <c:idx val="1"/>
          <c:order val="1"/>
          <c:tx>
            <c:v>预测 Y</c:v>
          </c:tx>
          <c:spPr>
            <a:ln w="19050">
              <a:noFill/>
            </a:ln>
          </c:spPr>
          <c:xVal>
            <c:numRef>
              <c:f>非线性回归!$I$3:$I$11</c:f>
              <c:numCache>
                <c:formatCode>General</c:formatCode>
                <c:ptCount val="9"/>
                <c:pt idx="0">
                  <c:v>3.375</c:v>
                </c:pt>
                <c:pt idx="1">
                  <c:v>91.125</c:v>
                </c:pt>
                <c:pt idx="2">
                  <c:v>421.875</c:v>
                </c:pt>
                <c:pt idx="3">
                  <c:v>1157.625</c:v>
                </c:pt>
                <c:pt idx="4">
                  <c:v>2460.375</c:v>
                </c:pt>
                <c:pt idx="5">
                  <c:v>4492.125</c:v>
                </c:pt>
                <c:pt idx="6">
                  <c:v>7414.875</c:v>
                </c:pt>
                <c:pt idx="7">
                  <c:v>11390.625</c:v>
                </c:pt>
                <c:pt idx="8">
                  <c:v>16581.375</c:v>
                </c:pt>
              </c:numCache>
            </c:numRef>
          </c:xVal>
          <c:yVal>
            <c:numRef>
              <c:f>非线性回归!$B$145:$B$153</c:f>
              <c:numCache>
                <c:formatCode>General</c:formatCode>
                <c:ptCount val="9"/>
                <c:pt idx="0">
                  <c:v>6.8979797979797954</c:v>
                </c:pt>
                <c:pt idx="1">
                  <c:v>4.9601010101010097</c:v>
                </c:pt>
                <c:pt idx="2">
                  <c:v>3.6953823953823948</c:v>
                </c:pt>
                <c:pt idx="3">
                  <c:v>2.9588744588744591</c:v>
                </c:pt>
                <c:pt idx="4">
                  <c:v>2.6056277056277057</c:v>
                </c:pt>
                <c:pt idx="5">
                  <c:v>2.4906926406926413</c:v>
                </c:pt>
                <c:pt idx="6">
                  <c:v>2.4691197691197697</c:v>
                </c:pt>
                <c:pt idx="7">
                  <c:v>2.3959595959595976</c:v>
                </c:pt>
                <c:pt idx="8">
                  <c:v>2.1262626262626316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372768"/>
        <c:axId val="515369968"/>
      </c:scatterChart>
      <c:valAx>
        <c:axId val="515372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Variable 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369968"/>
        <c:crosses val="autoZero"/>
        <c:crossBetween val="midCat"/>
      </c:valAx>
      <c:valAx>
        <c:axId val="5153699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372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非线性回归!$F$145:$F$153</c:f>
              <c:numCache>
                <c:formatCode>General</c:formatCode>
                <c:ptCount val="9"/>
                <c:pt idx="0">
                  <c:v>5.5555555555555554</c:v>
                </c:pt>
                <c:pt idx="1">
                  <c:v>16.666666666666664</c:v>
                </c:pt>
                <c:pt idx="2">
                  <c:v>27.777777777777779</c:v>
                </c:pt>
                <c:pt idx="3">
                  <c:v>38.888888888888886</c:v>
                </c:pt>
                <c:pt idx="4">
                  <c:v>50</c:v>
                </c:pt>
                <c:pt idx="5">
                  <c:v>61.111111111111114</c:v>
                </c:pt>
                <c:pt idx="6">
                  <c:v>72.222222222222214</c:v>
                </c:pt>
                <c:pt idx="7">
                  <c:v>83.333333333333329</c:v>
                </c:pt>
                <c:pt idx="8">
                  <c:v>94.444444444444443</c:v>
                </c:pt>
              </c:numCache>
            </c:numRef>
          </c:xVal>
          <c:yVal>
            <c:numRef>
              <c:f>非线性回归!$G$145:$G$153</c:f>
              <c:numCache>
                <c:formatCode>General</c:formatCode>
                <c:ptCount val="9"/>
                <c:pt idx="0">
                  <c:v>2.2000000000000002</c:v>
                </c:pt>
                <c:pt idx="1">
                  <c:v>2.2999999999999998</c:v>
                </c:pt>
                <c:pt idx="2">
                  <c:v>2.4</c:v>
                </c:pt>
                <c:pt idx="3">
                  <c:v>2.5</c:v>
                </c:pt>
                <c:pt idx="4">
                  <c:v>2.7</c:v>
                </c:pt>
                <c:pt idx="5">
                  <c:v>3.1</c:v>
                </c:pt>
                <c:pt idx="6">
                  <c:v>3.6</c:v>
                </c:pt>
                <c:pt idx="7">
                  <c:v>4.8</c:v>
                </c:pt>
                <c:pt idx="8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56096"/>
        <c:axId val="515556656"/>
      </c:scatterChart>
      <c:valAx>
        <c:axId val="515556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556656"/>
        <c:crosses val="autoZero"/>
        <c:crossBetween val="midCat"/>
      </c:valAx>
      <c:valAx>
        <c:axId val="5155566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55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移动平均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实际值</c:v>
          </c:tx>
          <c:val>
            <c:numRef>
              <c:f>移动平均法!$B$2:$B$43</c:f>
              <c:numCache>
                <c:formatCode>0_);[Red]\(0\)</c:formatCode>
                <c:ptCount val="42"/>
                <c:pt idx="0">
                  <c:v>132201</c:v>
                </c:pt>
                <c:pt idx="1">
                  <c:v>163342</c:v>
                </c:pt>
                <c:pt idx="2">
                  <c:v>313773</c:v>
                </c:pt>
                <c:pt idx="3">
                  <c:v>246013</c:v>
                </c:pt>
                <c:pt idx="4">
                  <c:v>244485</c:v>
                </c:pt>
                <c:pt idx="5">
                  <c:v>218109.39999999979</c:v>
                </c:pt>
                <c:pt idx="6">
                  <c:v>208543.51000000007</c:v>
                </c:pt>
                <c:pt idx="7">
                  <c:v>209520.7400000004</c:v>
                </c:pt>
                <c:pt idx="8">
                  <c:v>101870.19</c:v>
                </c:pt>
                <c:pt idx="9">
                  <c:v>904350.31999999983</c:v>
                </c:pt>
                <c:pt idx="10">
                  <c:v>6795016.1899999976</c:v>
                </c:pt>
                <c:pt idx="11">
                  <c:v>740410.84999999963</c:v>
                </c:pt>
                <c:pt idx="12">
                  <c:v>657663.82000000018</c:v>
                </c:pt>
                <c:pt idx="13">
                  <c:v>27117.959999999985</c:v>
                </c:pt>
                <c:pt idx="14">
                  <c:v>163584.4599999999</c:v>
                </c:pt>
                <c:pt idx="15">
                  <c:v>78647.430000000008</c:v>
                </c:pt>
                <c:pt idx="16">
                  <c:v>25670.799999999999</c:v>
                </c:pt>
                <c:pt idx="17">
                  <c:v>4000.1</c:v>
                </c:pt>
                <c:pt idx="18">
                  <c:v>61993.310000000019</c:v>
                </c:pt>
                <c:pt idx="19">
                  <c:v>106575.69999999981</c:v>
                </c:pt>
                <c:pt idx="20">
                  <c:v>389398.58999999985</c:v>
                </c:pt>
                <c:pt idx="21">
                  <c:v>2040398.419999982</c:v>
                </c:pt>
                <c:pt idx="22">
                  <c:v>3582017.8399999551</c:v>
                </c:pt>
                <c:pt idx="23">
                  <c:v>5632435.1299998108</c:v>
                </c:pt>
                <c:pt idx="24">
                  <c:v>2115364.900000094</c:v>
                </c:pt>
                <c:pt idx="25">
                  <c:v>1606571.7899999921</c:v>
                </c:pt>
                <c:pt idx="26">
                  <c:v>1069815.0100000221</c:v>
                </c:pt>
                <c:pt idx="27">
                  <c:v>487723.9900000018</c:v>
                </c:pt>
                <c:pt idx="28">
                  <c:v>238297.18000000049</c:v>
                </c:pt>
                <c:pt idx="29">
                  <c:v>267307.50000000058</c:v>
                </c:pt>
                <c:pt idx="30">
                  <c:v>609226.9099999998</c:v>
                </c:pt>
                <c:pt idx="31">
                  <c:v>748240.7199999945</c:v>
                </c:pt>
                <c:pt idx="32">
                  <c:v>945623.87000000197</c:v>
                </c:pt>
                <c:pt idx="33">
                  <c:v>4614654.6499999873</c:v>
                </c:pt>
                <c:pt idx="34">
                  <c:v>22137869.960004445</c:v>
                </c:pt>
                <c:pt idx="35">
                  <c:v>4835470.8799997624</c:v>
                </c:pt>
                <c:pt idx="36">
                  <c:v>2961400.9599998975</c:v>
                </c:pt>
                <c:pt idx="37">
                  <c:v>571942.73000000231</c:v>
                </c:pt>
                <c:pt idx="38">
                  <c:v>882883.39000000339</c:v>
                </c:pt>
                <c:pt idx="39">
                  <c:v>651932.89000000665</c:v>
                </c:pt>
                <c:pt idx="40">
                  <c:v>1011854.7100000062</c:v>
                </c:pt>
                <c:pt idx="41">
                  <c:v>2866716.9399998919</c:v>
                </c:pt>
              </c:numCache>
            </c:numRef>
          </c:val>
          <c:smooth val="0"/>
        </c:ser>
        <c:ser>
          <c:idx val="1"/>
          <c:order val="1"/>
          <c:tx>
            <c:v>预测值</c:v>
          </c:tx>
          <c:val>
            <c:numRef>
              <c:f>移动平均法!$C$2:$C$43</c:f>
              <c:numCache>
                <c:formatCode>0_);[Red]\(0\)</c:formatCode>
                <c:ptCount val="42"/>
                <c:pt idx="0" formatCode="General">
                  <c:v>#N/A</c:v>
                </c:pt>
                <c:pt idx="1">
                  <c:v>147771.5</c:v>
                </c:pt>
                <c:pt idx="2">
                  <c:v>238557.5</c:v>
                </c:pt>
                <c:pt idx="3">
                  <c:v>279893</c:v>
                </c:pt>
                <c:pt idx="4">
                  <c:v>245249</c:v>
                </c:pt>
                <c:pt idx="5">
                  <c:v>231297.1999999999</c:v>
                </c:pt>
                <c:pt idx="6">
                  <c:v>213326.45499999993</c:v>
                </c:pt>
                <c:pt idx="7">
                  <c:v>209032.12500000023</c:v>
                </c:pt>
                <c:pt idx="8">
                  <c:v>155695.4650000002</c:v>
                </c:pt>
                <c:pt idx="9">
                  <c:v>503110.25499999989</c:v>
                </c:pt>
                <c:pt idx="10">
                  <c:v>3849683.254999999</c:v>
                </c:pt>
                <c:pt idx="11">
                  <c:v>3767713.5199999986</c:v>
                </c:pt>
                <c:pt idx="12">
                  <c:v>699037.33499999996</c:v>
                </c:pt>
                <c:pt idx="13">
                  <c:v>342390.89000000007</c:v>
                </c:pt>
                <c:pt idx="14">
                  <c:v>95351.209999999948</c:v>
                </c:pt>
                <c:pt idx="15">
                  <c:v>121115.94499999995</c:v>
                </c:pt>
                <c:pt idx="16">
                  <c:v>52159.115000000005</c:v>
                </c:pt>
                <c:pt idx="17">
                  <c:v>14835.449999999999</c:v>
                </c:pt>
                <c:pt idx="18">
                  <c:v>32996.705000000009</c:v>
                </c:pt>
                <c:pt idx="19">
                  <c:v>84284.504999999917</c:v>
                </c:pt>
                <c:pt idx="20">
                  <c:v>247987.14499999984</c:v>
                </c:pt>
                <c:pt idx="21">
                  <c:v>1214898.504999991</c:v>
                </c:pt>
                <c:pt idx="22">
                  <c:v>2811208.1299999687</c:v>
                </c:pt>
                <c:pt idx="23">
                  <c:v>4607226.484999883</c:v>
                </c:pt>
                <c:pt idx="24">
                  <c:v>3873900.0149999522</c:v>
                </c:pt>
                <c:pt idx="25">
                  <c:v>1860968.345000043</c:v>
                </c:pt>
                <c:pt idx="26">
                  <c:v>1338193.4000000071</c:v>
                </c:pt>
                <c:pt idx="27">
                  <c:v>778769.50000001199</c:v>
                </c:pt>
                <c:pt idx="28">
                  <c:v>363010.58500000113</c:v>
                </c:pt>
                <c:pt idx="29">
                  <c:v>252802.34000000055</c:v>
                </c:pt>
                <c:pt idx="30">
                  <c:v>438267.20500000019</c:v>
                </c:pt>
                <c:pt idx="31">
                  <c:v>678733.81499999715</c:v>
                </c:pt>
                <c:pt idx="32">
                  <c:v>846932.2949999983</c:v>
                </c:pt>
                <c:pt idx="33">
                  <c:v>2780139.2599999947</c:v>
                </c:pt>
                <c:pt idx="34">
                  <c:v>13376262.305002216</c:v>
                </c:pt>
                <c:pt idx="35">
                  <c:v>13486670.420002103</c:v>
                </c:pt>
                <c:pt idx="36">
                  <c:v>3898435.91999983</c:v>
                </c:pt>
                <c:pt idx="37">
                  <c:v>1766671.8449999499</c:v>
                </c:pt>
                <c:pt idx="38">
                  <c:v>727413.06000000285</c:v>
                </c:pt>
                <c:pt idx="39">
                  <c:v>767408.14000000502</c:v>
                </c:pt>
                <c:pt idx="40">
                  <c:v>831893.80000000645</c:v>
                </c:pt>
                <c:pt idx="41">
                  <c:v>1939285.824999949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28192"/>
        <c:axId val="509438080"/>
      </c:lineChart>
      <c:catAx>
        <c:axId val="50762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数据点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509438080"/>
        <c:crosses val="autoZero"/>
        <c:auto val="1"/>
        <c:lblAlgn val="ctr"/>
        <c:lblOffset val="100"/>
        <c:noMultiLvlLbl val="0"/>
      </c:catAx>
      <c:valAx>
        <c:axId val="5094380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值</a:t>
                </a:r>
              </a:p>
            </c:rich>
          </c:tx>
          <c:layout/>
          <c:overlay val="0"/>
        </c:title>
        <c:numFmt formatCode="0_);[Red]\(0\)" sourceLinked="1"/>
        <c:majorTickMark val="out"/>
        <c:minorTickMark val="none"/>
        <c:tickLblPos val="nextTo"/>
        <c:crossAx val="507628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移动平均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实际值</c:v>
          </c:tx>
          <c:val>
            <c:numRef>
              <c:f>移动平均法!$B$2:$B$43</c:f>
              <c:numCache>
                <c:formatCode>0_);[Red]\(0\)</c:formatCode>
                <c:ptCount val="42"/>
                <c:pt idx="0">
                  <c:v>132201</c:v>
                </c:pt>
                <c:pt idx="1">
                  <c:v>163342</c:v>
                </c:pt>
                <c:pt idx="2">
                  <c:v>313773</c:v>
                </c:pt>
                <c:pt idx="3">
                  <c:v>246013</c:v>
                </c:pt>
                <c:pt idx="4">
                  <c:v>244485</c:v>
                </c:pt>
                <c:pt idx="5">
                  <c:v>218109.39999999979</c:v>
                </c:pt>
                <c:pt idx="6">
                  <c:v>208543.51000000007</c:v>
                </c:pt>
                <c:pt idx="7">
                  <c:v>209520.7400000004</c:v>
                </c:pt>
                <c:pt idx="8">
                  <c:v>101870.19</c:v>
                </c:pt>
                <c:pt idx="9">
                  <c:v>904350.31999999983</c:v>
                </c:pt>
                <c:pt idx="10">
                  <c:v>6795016.1899999976</c:v>
                </c:pt>
                <c:pt idx="11">
                  <c:v>740410.84999999963</c:v>
                </c:pt>
                <c:pt idx="12">
                  <c:v>657663.82000000018</c:v>
                </c:pt>
                <c:pt idx="13">
                  <c:v>27117.959999999985</c:v>
                </c:pt>
                <c:pt idx="14">
                  <c:v>163584.4599999999</c:v>
                </c:pt>
                <c:pt idx="15">
                  <c:v>78647.430000000008</c:v>
                </c:pt>
                <c:pt idx="16">
                  <c:v>25670.799999999999</c:v>
                </c:pt>
                <c:pt idx="17">
                  <c:v>4000.1</c:v>
                </c:pt>
                <c:pt idx="18">
                  <c:v>61993.310000000019</c:v>
                </c:pt>
                <c:pt idx="19">
                  <c:v>106575.69999999981</c:v>
                </c:pt>
                <c:pt idx="20">
                  <c:v>389398.58999999985</c:v>
                </c:pt>
                <c:pt idx="21">
                  <c:v>2040398.419999982</c:v>
                </c:pt>
                <c:pt idx="22">
                  <c:v>3582017.8399999551</c:v>
                </c:pt>
                <c:pt idx="23">
                  <c:v>5632435.1299998108</c:v>
                </c:pt>
                <c:pt idx="24">
                  <c:v>2115364.900000094</c:v>
                </c:pt>
                <c:pt idx="25">
                  <c:v>1606571.7899999921</c:v>
                </c:pt>
                <c:pt idx="26">
                  <c:v>1069815.0100000221</c:v>
                </c:pt>
                <c:pt idx="27">
                  <c:v>487723.9900000018</c:v>
                </c:pt>
                <c:pt idx="28">
                  <c:v>238297.18000000049</c:v>
                </c:pt>
                <c:pt idx="29">
                  <c:v>267307.50000000058</c:v>
                </c:pt>
                <c:pt idx="30">
                  <c:v>609226.9099999998</c:v>
                </c:pt>
                <c:pt idx="31">
                  <c:v>748240.7199999945</c:v>
                </c:pt>
                <c:pt idx="32">
                  <c:v>945623.87000000197</c:v>
                </c:pt>
                <c:pt idx="33">
                  <c:v>4614654.6499999873</c:v>
                </c:pt>
                <c:pt idx="34">
                  <c:v>22137869.960004445</c:v>
                </c:pt>
                <c:pt idx="35">
                  <c:v>4835470.8799997624</c:v>
                </c:pt>
                <c:pt idx="36">
                  <c:v>2961400.9599998975</c:v>
                </c:pt>
                <c:pt idx="37">
                  <c:v>571942.73000000231</c:v>
                </c:pt>
                <c:pt idx="38">
                  <c:v>882883.39000000339</c:v>
                </c:pt>
                <c:pt idx="39">
                  <c:v>651932.89000000665</c:v>
                </c:pt>
                <c:pt idx="40">
                  <c:v>1011854.7100000062</c:v>
                </c:pt>
                <c:pt idx="41">
                  <c:v>2866716.9399998919</c:v>
                </c:pt>
              </c:numCache>
            </c:numRef>
          </c:val>
          <c:smooth val="0"/>
        </c:ser>
        <c:ser>
          <c:idx val="1"/>
          <c:order val="1"/>
          <c:tx>
            <c:v>预测值</c:v>
          </c:tx>
          <c:val>
            <c:numRef>
              <c:f>移动平均法!$E$2:$E$43</c:f>
              <c:numCache>
                <c:formatCode>General</c:formatCode>
                <c:ptCount val="42"/>
                <c:pt idx="0">
                  <c:v>#N/A</c:v>
                </c:pt>
                <c:pt idx="1">
                  <c:v>#N/A</c:v>
                </c:pt>
                <c:pt idx="2" formatCode="0_);[Red]\(0\)">
                  <c:v>203105.33333333334</c:v>
                </c:pt>
                <c:pt idx="3" formatCode="0_);[Red]\(0\)">
                  <c:v>241042.66666666666</c:v>
                </c:pt>
                <c:pt idx="4" formatCode="0_);[Red]\(0\)">
                  <c:v>268090.33333333331</c:v>
                </c:pt>
                <c:pt idx="5" formatCode="0_);[Red]\(0\)">
                  <c:v>236202.46666666659</c:v>
                </c:pt>
                <c:pt idx="6" formatCode="0_);[Red]\(0\)">
                  <c:v>223712.63666666663</c:v>
                </c:pt>
                <c:pt idx="7" formatCode="0_);[Red]\(0\)">
                  <c:v>212057.88333333342</c:v>
                </c:pt>
                <c:pt idx="8" formatCode="0_);[Red]\(0\)">
                  <c:v>173311.48000000016</c:v>
                </c:pt>
                <c:pt idx="9" formatCode="0_);[Red]\(0\)">
                  <c:v>405247.08333333343</c:v>
                </c:pt>
                <c:pt idx="10" formatCode="0_);[Red]\(0\)">
                  <c:v>2600412.2333333325</c:v>
                </c:pt>
                <c:pt idx="11" formatCode="0_);[Red]\(0\)">
                  <c:v>2813259.1199999992</c:v>
                </c:pt>
                <c:pt idx="12" formatCode="0_);[Red]\(0\)">
                  <c:v>2731030.2866666657</c:v>
                </c:pt>
                <c:pt idx="13" formatCode="0_);[Red]\(0\)">
                  <c:v>475064.20999999996</c:v>
                </c:pt>
                <c:pt idx="14" formatCode="0_);[Red]\(0\)">
                  <c:v>282788.74666666664</c:v>
                </c:pt>
                <c:pt idx="15" formatCode="0_);[Red]\(0\)">
                  <c:v>89783.283333333311</c:v>
                </c:pt>
                <c:pt idx="16" formatCode="0_);[Red]\(0\)">
                  <c:v>89300.896666666624</c:v>
                </c:pt>
                <c:pt idx="17" formatCode="0_);[Red]\(0\)">
                  <c:v>36106.110000000008</c:v>
                </c:pt>
                <c:pt idx="18" formatCode="0_);[Red]\(0\)">
                  <c:v>30554.736666666675</c:v>
                </c:pt>
                <c:pt idx="19" formatCode="0_);[Red]\(0\)">
                  <c:v>57523.036666666601</c:v>
                </c:pt>
                <c:pt idx="20" formatCode="0_);[Red]\(0\)">
                  <c:v>185989.19999999987</c:v>
                </c:pt>
                <c:pt idx="21" formatCode="0_);[Red]\(0\)">
                  <c:v>845457.5699999939</c:v>
                </c:pt>
                <c:pt idx="22" formatCode="0_);[Red]\(0\)">
                  <c:v>2003938.2833333125</c:v>
                </c:pt>
                <c:pt idx="23" formatCode="0_);[Red]\(0\)">
                  <c:v>3751617.1299999156</c:v>
                </c:pt>
                <c:pt idx="24" formatCode="0_);[Red]\(0\)">
                  <c:v>3776605.95666662</c:v>
                </c:pt>
                <c:pt idx="25" formatCode="0_);[Red]\(0\)">
                  <c:v>3118123.9399999655</c:v>
                </c:pt>
                <c:pt idx="26" formatCode="0_);[Red]\(0\)">
                  <c:v>1597250.5666667027</c:v>
                </c:pt>
                <c:pt idx="27" formatCode="0_);[Red]\(0\)">
                  <c:v>1054703.596666672</c:v>
                </c:pt>
                <c:pt idx="28" formatCode="0_);[Red]\(0\)">
                  <c:v>598612.06000000809</c:v>
                </c:pt>
                <c:pt idx="29" formatCode="0_);[Red]\(0\)">
                  <c:v>331109.55666666763</c:v>
                </c:pt>
                <c:pt idx="30" formatCode="0_);[Red]\(0\)">
                  <c:v>371610.53000000026</c:v>
                </c:pt>
                <c:pt idx="31" formatCode="0_);[Red]\(0\)">
                  <c:v>541591.70999999822</c:v>
                </c:pt>
                <c:pt idx="32" formatCode="0_);[Red]\(0\)">
                  <c:v>767697.16666666546</c:v>
                </c:pt>
                <c:pt idx="33" formatCode="0_);[Red]\(0\)">
                  <c:v>2102839.746666661</c:v>
                </c:pt>
                <c:pt idx="34" formatCode="0_);[Red]\(0\)">
                  <c:v>9232716.1600014772</c:v>
                </c:pt>
                <c:pt idx="35" formatCode="0_);[Red]\(0\)">
                  <c:v>10529331.830001399</c:v>
                </c:pt>
                <c:pt idx="36" formatCode="0_);[Red]\(0\)">
                  <c:v>9978247.2666680347</c:v>
                </c:pt>
                <c:pt idx="37" formatCode="0_);[Red]\(0\)">
                  <c:v>2789604.8566665542</c:v>
                </c:pt>
                <c:pt idx="38" formatCode="0_);[Red]\(0\)">
                  <c:v>1472075.693333301</c:v>
                </c:pt>
                <c:pt idx="39" formatCode="0_);[Red]\(0\)">
                  <c:v>702253.00333333749</c:v>
                </c:pt>
                <c:pt idx="40" formatCode="0_);[Red]\(0\)">
                  <c:v>848890.33000000531</c:v>
                </c:pt>
                <c:pt idx="41" formatCode="0_);[Red]\(0\)">
                  <c:v>1510168.1799999683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728336"/>
        <c:axId val="671130544"/>
      </c:lineChart>
      <c:catAx>
        <c:axId val="66372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数据点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71130544"/>
        <c:crosses val="autoZero"/>
        <c:auto val="1"/>
        <c:lblAlgn val="ctr"/>
        <c:lblOffset val="100"/>
        <c:noMultiLvlLbl val="0"/>
      </c:catAx>
      <c:valAx>
        <c:axId val="6711305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值</a:t>
                </a:r>
              </a:p>
            </c:rich>
          </c:tx>
          <c:layout/>
          <c:overlay val="0"/>
        </c:title>
        <c:numFmt formatCode="0_);[Red]\(0\)" sourceLinked="1"/>
        <c:majorTickMark val="out"/>
        <c:minorTickMark val="none"/>
        <c:tickLblPos val="nextTo"/>
        <c:crossAx val="663728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指数平滑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实际值</c:v>
          </c:tx>
          <c:val>
            <c:numRef>
              <c:f>指数平滑!$B$2:$B$43</c:f>
              <c:numCache>
                <c:formatCode>0_);[Red]\(0\)</c:formatCode>
                <c:ptCount val="42"/>
                <c:pt idx="0">
                  <c:v>132201</c:v>
                </c:pt>
                <c:pt idx="1">
                  <c:v>163342</c:v>
                </c:pt>
                <c:pt idx="2">
                  <c:v>313773</c:v>
                </c:pt>
                <c:pt idx="3">
                  <c:v>246013</c:v>
                </c:pt>
                <c:pt idx="4">
                  <c:v>244485</c:v>
                </c:pt>
                <c:pt idx="5">
                  <c:v>218109.39999999979</c:v>
                </c:pt>
                <c:pt idx="6">
                  <c:v>208543.51000000007</c:v>
                </c:pt>
                <c:pt idx="7">
                  <c:v>209520.7400000004</c:v>
                </c:pt>
                <c:pt idx="8">
                  <c:v>101870.19</c:v>
                </c:pt>
                <c:pt idx="9">
                  <c:v>904350.31999999983</c:v>
                </c:pt>
                <c:pt idx="10">
                  <c:v>6795016.1899999976</c:v>
                </c:pt>
                <c:pt idx="11">
                  <c:v>740410.84999999963</c:v>
                </c:pt>
                <c:pt idx="12">
                  <c:v>657663.82000000018</c:v>
                </c:pt>
                <c:pt idx="13">
                  <c:v>27117.959999999985</c:v>
                </c:pt>
                <c:pt idx="14">
                  <c:v>163584.4599999999</c:v>
                </c:pt>
                <c:pt idx="15">
                  <c:v>78647.430000000008</c:v>
                </c:pt>
                <c:pt idx="16">
                  <c:v>25670.799999999999</c:v>
                </c:pt>
                <c:pt idx="17">
                  <c:v>4000.1</c:v>
                </c:pt>
                <c:pt idx="18">
                  <c:v>61993.310000000019</c:v>
                </c:pt>
                <c:pt idx="19">
                  <c:v>106575.69999999981</c:v>
                </c:pt>
                <c:pt idx="20">
                  <c:v>389398.58999999985</c:v>
                </c:pt>
                <c:pt idx="21">
                  <c:v>2040398.419999982</c:v>
                </c:pt>
                <c:pt idx="22">
                  <c:v>3582017.8399999551</c:v>
                </c:pt>
                <c:pt idx="23">
                  <c:v>5632435.1299998108</c:v>
                </c:pt>
                <c:pt idx="24">
                  <c:v>2115364.900000094</c:v>
                </c:pt>
                <c:pt idx="25">
                  <c:v>1606571.7899999921</c:v>
                </c:pt>
                <c:pt idx="26">
                  <c:v>1069815.0100000221</c:v>
                </c:pt>
                <c:pt idx="27">
                  <c:v>487723.9900000018</c:v>
                </c:pt>
                <c:pt idx="28">
                  <c:v>238297.18000000049</c:v>
                </c:pt>
                <c:pt idx="29">
                  <c:v>267307.50000000058</c:v>
                </c:pt>
                <c:pt idx="30">
                  <c:v>609226.9099999998</c:v>
                </c:pt>
                <c:pt idx="31">
                  <c:v>748240.7199999945</c:v>
                </c:pt>
                <c:pt idx="32">
                  <c:v>945623.87000000197</c:v>
                </c:pt>
                <c:pt idx="33">
                  <c:v>4614654.6499999873</c:v>
                </c:pt>
                <c:pt idx="34">
                  <c:v>22137869.960004445</c:v>
                </c:pt>
                <c:pt idx="35">
                  <c:v>4835470.8799997624</c:v>
                </c:pt>
                <c:pt idx="36">
                  <c:v>2961400.9599998975</c:v>
                </c:pt>
                <c:pt idx="37">
                  <c:v>571942.73000000231</c:v>
                </c:pt>
                <c:pt idx="38">
                  <c:v>882883.39000000339</c:v>
                </c:pt>
                <c:pt idx="39">
                  <c:v>651932.89000000665</c:v>
                </c:pt>
                <c:pt idx="40">
                  <c:v>1011854.7100000062</c:v>
                </c:pt>
                <c:pt idx="41">
                  <c:v>2866716.9399998919</c:v>
                </c:pt>
              </c:numCache>
            </c:numRef>
          </c:val>
          <c:smooth val="0"/>
        </c:ser>
        <c:ser>
          <c:idx val="1"/>
          <c:order val="1"/>
          <c:tx>
            <c:v>预测值</c:v>
          </c:tx>
          <c:val>
            <c:numRef>
              <c:f>指数平滑!$C$2:$C$43</c:f>
              <c:numCache>
                <c:formatCode>0_);[Red]\(0\)</c:formatCode>
                <c:ptCount val="42"/>
                <c:pt idx="0" formatCode="General">
                  <c:v>#N/A</c:v>
                </c:pt>
                <c:pt idx="1">
                  <c:v>132201</c:v>
                </c:pt>
                <c:pt idx="2" formatCode="General">
                  <c:v>135315.1</c:v>
                </c:pt>
                <c:pt idx="3" formatCode="General">
                  <c:v>153160.89000000001</c:v>
                </c:pt>
                <c:pt idx="4" formatCode="General">
                  <c:v>162446.10100000002</c:v>
                </c:pt>
                <c:pt idx="5" formatCode="General">
                  <c:v>170649.99090000003</c:v>
                </c:pt>
                <c:pt idx="6" formatCode="General">
                  <c:v>175395.93181000001</c:v>
                </c:pt>
                <c:pt idx="7" formatCode="General">
                  <c:v>178710.68962900003</c:v>
                </c:pt>
                <c:pt idx="8" formatCode="General">
                  <c:v>181791.69466610008</c:v>
                </c:pt>
                <c:pt idx="9" formatCode="General">
                  <c:v>173799.54419949008</c:v>
                </c:pt>
                <c:pt idx="10" formatCode="General">
                  <c:v>246854.62177954108</c:v>
                </c:pt>
                <c:pt idx="11" formatCode="General">
                  <c:v>901670.77860158682</c:v>
                </c:pt>
                <c:pt idx="12" formatCode="General">
                  <c:v>885544.78574142815</c:v>
                </c:pt>
                <c:pt idx="13" formatCode="General">
                  <c:v>862756.68916728534</c:v>
                </c:pt>
                <c:pt idx="14" formatCode="General">
                  <c:v>779192.81625055685</c:v>
                </c:pt>
                <c:pt idx="15" formatCode="General">
                  <c:v>717631.98062550114</c:v>
                </c:pt>
                <c:pt idx="16" formatCode="General">
                  <c:v>653733.52556295111</c:v>
                </c:pt>
                <c:pt idx="17" formatCode="General">
                  <c:v>590927.25300665596</c:v>
                </c:pt>
                <c:pt idx="18" formatCode="General">
                  <c:v>532234.53770599037</c:v>
                </c:pt>
                <c:pt idx="19" formatCode="General">
                  <c:v>485210.41493539134</c:v>
                </c:pt>
                <c:pt idx="20" formatCode="General">
                  <c:v>447346.94344185223</c:v>
                </c:pt>
                <c:pt idx="21" formatCode="General">
                  <c:v>441552.10809766699</c:v>
                </c:pt>
                <c:pt idx="22" formatCode="General">
                  <c:v>601436.73928789853</c:v>
                </c:pt>
                <c:pt idx="23" formatCode="General">
                  <c:v>899494.84935910429</c:v>
                </c:pt>
                <c:pt idx="24" formatCode="General">
                  <c:v>1372788.8774231749</c:v>
                </c:pt>
                <c:pt idx="25" formatCode="General">
                  <c:v>1447046.4796808669</c:v>
                </c:pt>
                <c:pt idx="26" formatCode="General">
                  <c:v>1462999.0107127796</c:v>
                </c:pt>
                <c:pt idx="27" formatCode="General">
                  <c:v>1423680.6106415039</c:v>
                </c:pt>
                <c:pt idx="28" formatCode="General">
                  <c:v>1330084.9485773537</c:v>
                </c:pt>
                <c:pt idx="29" formatCode="General">
                  <c:v>1220906.1717196186</c:v>
                </c:pt>
                <c:pt idx="30" formatCode="General">
                  <c:v>1125546.3045476568</c:v>
                </c:pt>
                <c:pt idx="31" formatCode="General">
                  <c:v>1073914.365092891</c:v>
                </c:pt>
                <c:pt idx="32" formatCode="General">
                  <c:v>1041347.0005836014</c:v>
                </c:pt>
                <c:pt idx="33" formatCode="General">
                  <c:v>1031774.6875252415</c:v>
                </c:pt>
                <c:pt idx="34" formatCode="General">
                  <c:v>1390062.6837727162</c:v>
                </c:pt>
                <c:pt idx="35" formatCode="General">
                  <c:v>3464843.4113958892</c:v>
                </c:pt>
                <c:pt idx="36" formatCode="General">
                  <c:v>3601906.1582562765</c:v>
                </c:pt>
                <c:pt idx="37" formatCode="General">
                  <c:v>3537855.6384306387</c:v>
                </c:pt>
                <c:pt idx="38" formatCode="General">
                  <c:v>3241264.3475875747</c:v>
                </c:pt>
                <c:pt idx="39" formatCode="General">
                  <c:v>3005426.2518288177</c:v>
                </c:pt>
                <c:pt idx="40" formatCode="General">
                  <c:v>2770076.915645937</c:v>
                </c:pt>
                <c:pt idx="41" formatCode="General">
                  <c:v>2594254.6950813443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127184"/>
        <c:axId val="671131104"/>
      </c:lineChart>
      <c:catAx>
        <c:axId val="67112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数据点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71131104"/>
        <c:crosses val="autoZero"/>
        <c:auto val="1"/>
        <c:lblAlgn val="ctr"/>
        <c:lblOffset val="100"/>
        <c:noMultiLvlLbl val="0"/>
      </c:catAx>
      <c:valAx>
        <c:axId val="671131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值</a:t>
                </a:r>
              </a:p>
            </c:rich>
          </c:tx>
          <c:layout/>
          <c:overlay val="0"/>
        </c:title>
        <c:numFmt formatCode="0_);[Red]\(0\)" sourceLinked="1"/>
        <c:majorTickMark val="out"/>
        <c:minorTickMark val="none"/>
        <c:tickLblPos val="nextTo"/>
        <c:crossAx val="6711271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指数平滑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实际值</c:v>
          </c:tx>
          <c:val>
            <c:numRef>
              <c:f>指数平滑!$B$2:$B$43</c:f>
              <c:numCache>
                <c:formatCode>0_);[Red]\(0\)</c:formatCode>
                <c:ptCount val="42"/>
                <c:pt idx="0">
                  <c:v>132201</c:v>
                </c:pt>
                <c:pt idx="1">
                  <c:v>163342</c:v>
                </c:pt>
                <c:pt idx="2">
                  <c:v>313773</c:v>
                </c:pt>
                <c:pt idx="3">
                  <c:v>246013</c:v>
                </c:pt>
                <c:pt idx="4">
                  <c:v>244485</c:v>
                </c:pt>
                <c:pt idx="5">
                  <c:v>218109.39999999979</c:v>
                </c:pt>
                <c:pt idx="6">
                  <c:v>208543.51000000007</c:v>
                </c:pt>
                <c:pt idx="7">
                  <c:v>209520.7400000004</c:v>
                </c:pt>
                <c:pt idx="8">
                  <c:v>101870.19</c:v>
                </c:pt>
                <c:pt idx="9">
                  <c:v>904350.31999999983</c:v>
                </c:pt>
                <c:pt idx="10">
                  <c:v>6795016.1899999976</c:v>
                </c:pt>
                <c:pt idx="11">
                  <c:v>740410.84999999963</c:v>
                </c:pt>
                <c:pt idx="12">
                  <c:v>657663.82000000018</c:v>
                </c:pt>
                <c:pt idx="13">
                  <c:v>27117.959999999985</c:v>
                </c:pt>
                <c:pt idx="14">
                  <c:v>163584.4599999999</c:v>
                </c:pt>
                <c:pt idx="15">
                  <c:v>78647.430000000008</c:v>
                </c:pt>
                <c:pt idx="16">
                  <c:v>25670.799999999999</c:v>
                </c:pt>
                <c:pt idx="17">
                  <c:v>4000.1</c:v>
                </c:pt>
                <c:pt idx="18">
                  <c:v>61993.310000000019</c:v>
                </c:pt>
                <c:pt idx="19">
                  <c:v>106575.69999999981</c:v>
                </c:pt>
                <c:pt idx="20">
                  <c:v>389398.58999999985</c:v>
                </c:pt>
                <c:pt idx="21">
                  <c:v>2040398.419999982</c:v>
                </c:pt>
                <c:pt idx="22">
                  <c:v>3582017.8399999551</c:v>
                </c:pt>
                <c:pt idx="23">
                  <c:v>5632435.1299998108</c:v>
                </c:pt>
                <c:pt idx="24">
                  <c:v>2115364.900000094</c:v>
                </c:pt>
                <c:pt idx="25">
                  <c:v>1606571.7899999921</c:v>
                </c:pt>
                <c:pt idx="26">
                  <c:v>1069815.0100000221</c:v>
                </c:pt>
                <c:pt idx="27">
                  <c:v>487723.9900000018</c:v>
                </c:pt>
                <c:pt idx="28">
                  <c:v>238297.18000000049</c:v>
                </c:pt>
                <c:pt idx="29">
                  <c:v>267307.50000000058</c:v>
                </c:pt>
                <c:pt idx="30">
                  <c:v>609226.9099999998</c:v>
                </c:pt>
                <c:pt idx="31">
                  <c:v>748240.7199999945</c:v>
                </c:pt>
                <c:pt idx="32">
                  <c:v>945623.87000000197</c:v>
                </c:pt>
                <c:pt idx="33">
                  <c:v>4614654.6499999873</c:v>
                </c:pt>
                <c:pt idx="34">
                  <c:v>22137869.960004445</c:v>
                </c:pt>
                <c:pt idx="35">
                  <c:v>4835470.8799997624</c:v>
                </c:pt>
                <c:pt idx="36">
                  <c:v>2961400.9599998975</c:v>
                </c:pt>
                <c:pt idx="37">
                  <c:v>571942.73000000231</c:v>
                </c:pt>
                <c:pt idx="38">
                  <c:v>882883.39000000339</c:v>
                </c:pt>
                <c:pt idx="39">
                  <c:v>651932.89000000665</c:v>
                </c:pt>
                <c:pt idx="40">
                  <c:v>1011854.7100000062</c:v>
                </c:pt>
                <c:pt idx="41">
                  <c:v>2866716.9399998919</c:v>
                </c:pt>
              </c:numCache>
            </c:numRef>
          </c:val>
          <c:smooth val="0"/>
        </c:ser>
        <c:ser>
          <c:idx val="1"/>
          <c:order val="1"/>
          <c:tx>
            <c:v>预测值</c:v>
          </c:tx>
          <c:val>
            <c:numRef>
              <c:f>指数平滑!$E$2:$E$43</c:f>
              <c:numCache>
                <c:formatCode>0_);[Red]\(0\)</c:formatCode>
                <c:ptCount val="42"/>
                <c:pt idx="0" formatCode="General">
                  <c:v>#N/A</c:v>
                </c:pt>
                <c:pt idx="1">
                  <c:v>132201</c:v>
                </c:pt>
                <c:pt idx="2" formatCode="General">
                  <c:v>160227.90000000002</c:v>
                </c:pt>
                <c:pt idx="3" formatCode="General">
                  <c:v>298418.49</c:v>
                </c:pt>
                <c:pt idx="4" formatCode="General">
                  <c:v>251253.549</c:v>
                </c:pt>
                <c:pt idx="5" formatCode="General">
                  <c:v>245161.85490000001</c:v>
                </c:pt>
                <c:pt idx="6" formatCode="General">
                  <c:v>220814.64548999982</c:v>
                </c:pt>
                <c:pt idx="7" formatCode="General">
                  <c:v>209770.62354900007</c:v>
                </c:pt>
                <c:pt idx="8" formatCode="General">
                  <c:v>209545.72835490038</c:v>
                </c:pt>
                <c:pt idx="9" formatCode="General">
                  <c:v>112637.74383549004</c:v>
                </c:pt>
                <c:pt idx="10" formatCode="General">
                  <c:v>825179.06238354882</c:v>
                </c:pt>
                <c:pt idx="11" formatCode="General">
                  <c:v>6198032.4772383524</c:v>
                </c:pt>
                <c:pt idx="12" formatCode="General">
                  <c:v>1286173.012723835</c:v>
                </c:pt>
                <c:pt idx="13" formatCode="General">
                  <c:v>720514.73927238374</c:v>
                </c:pt>
                <c:pt idx="14" formatCode="General">
                  <c:v>96457.637927238364</c:v>
                </c:pt>
                <c:pt idx="15" formatCode="General">
                  <c:v>156871.77779272373</c:v>
                </c:pt>
                <c:pt idx="16" formatCode="General">
                  <c:v>86469.864779272379</c:v>
                </c:pt>
                <c:pt idx="17" formatCode="General">
                  <c:v>31750.70647792724</c:v>
                </c:pt>
                <c:pt idx="18" formatCode="General">
                  <c:v>6775.1606477927244</c:v>
                </c:pt>
                <c:pt idx="19" formatCode="General">
                  <c:v>56471.495064779294</c:v>
                </c:pt>
                <c:pt idx="20" formatCode="General">
                  <c:v>101565.27950647776</c:v>
                </c:pt>
                <c:pt idx="21" formatCode="General">
                  <c:v>360615.25895064761</c:v>
                </c:pt>
                <c:pt idx="22" formatCode="General">
                  <c:v>1872420.1038950486</c:v>
                </c:pt>
                <c:pt idx="23" formatCode="General">
                  <c:v>3411058.0663894648</c:v>
                </c:pt>
                <c:pt idx="24" formatCode="General">
                  <c:v>5410297.4236387769</c:v>
                </c:pt>
                <c:pt idx="25" formatCode="General">
                  <c:v>2444858.1523639625</c:v>
                </c:pt>
                <c:pt idx="26" formatCode="General">
                  <c:v>1690400.4262363892</c:v>
                </c:pt>
                <c:pt idx="27" formatCode="General">
                  <c:v>1131873.551623659</c:v>
                </c:pt>
                <c:pt idx="28" formatCode="General">
                  <c:v>552138.94616236759</c:v>
                </c:pt>
                <c:pt idx="29" formatCode="General">
                  <c:v>269681.3566162372</c:v>
                </c:pt>
                <c:pt idx="30" formatCode="General">
                  <c:v>267544.88566162426</c:v>
                </c:pt>
                <c:pt idx="31" formatCode="General">
                  <c:v>575058.70756616222</c:v>
                </c:pt>
                <c:pt idx="32" formatCode="General">
                  <c:v>730922.51875661127</c:v>
                </c:pt>
                <c:pt idx="33" formatCode="General">
                  <c:v>924153.73487566283</c:v>
                </c:pt>
                <c:pt idx="34" formatCode="General">
                  <c:v>4245604.558487555</c:v>
                </c:pt>
                <c:pt idx="35" formatCode="General">
                  <c:v>20348643.41985276</c:v>
                </c:pt>
                <c:pt idx="36" formatCode="General">
                  <c:v>6386788.1339850621</c:v>
                </c:pt>
                <c:pt idx="37" formatCode="General">
                  <c:v>3303939.6773984144</c:v>
                </c:pt>
                <c:pt idx="38" formatCode="General">
                  <c:v>845142.42473984347</c:v>
                </c:pt>
                <c:pt idx="39" formatCode="General">
                  <c:v>879109.29347398749</c:v>
                </c:pt>
                <c:pt idx="40" formatCode="General">
                  <c:v>674650.53034740477</c:v>
                </c:pt>
                <c:pt idx="41" formatCode="General">
                  <c:v>978134.29203474615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91184"/>
        <c:axId val="513691744"/>
      </c:lineChart>
      <c:catAx>
        <c:axId val="513691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数据点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513691744"/>
        <c:crosses val="autoZero"/>
        <c:auto val="1"/>
        <c:lblAlgn val="ctr"/>
        <c:lblOffset val="100"/>
        <c:noMultiLvlLbl val="0"/>
      </c:catAx>
      <c:valAx>
        <c:axId val="513691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值</a:t>
                </a:r>
              </a:p>
            </c:rich>
          </c:tx>
          <c:layout/>
          <c:overlay val="0"/>
        </c:title>
        <c:numFmt formatCode="0_);[Red]\(0\)" sourceLinked="1"/>
        <c:majorTickMark val="out"/>
        <c:minorTickMark val="none"/>
        <c:tickLblPos val="nextTo"/>
        <c:crossAx val="5136911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马尔可夫链!$B$2</c:f>
              <c:strCache>
                <c:ptCount val="1"/>
                <c:pt idx="0">
                  <c:v>销量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马尔可夫链!$B$3:$B$26</c:f>
              <c:numCache>
                <c:formatCode>General</c:formatCode>
                <c:ptCount val="24"/>
                <c:pt idx="0">
                  <c:v>86</c:v>
                </c:pt>
                <c:pt idx="1">
                  <c:v>110</c:v>
                </c:pt>
                <c:pt idx="2">
                  <c:v>130</c:v>
                </c:pt>
                <c:pt idx="3">
                  <c:v>160</c:v>
                </c:pt>
                <c:pt idx="4">
                  <c:v>150</c:v>
                </c:pt>
                <c:pt idx="5">
                  <c:v>130</c:v>
                </c:pt>
                <c:pt idx="6">
                  <c:v>50</c:v>
                </c:pt>
                <c:pt idx="7">
                  <c:v>70</c:v>
                </c:pt>
                <c:pt idx="8">
                  <c:v>140</c:v>
                </c:pt>
                <c:pt idx="9">
                  <c:v>120</c:v>
                </c:pt>
                <c:pt idx="10">
                  <c:v>150</c:v>
                </c:pt>
                <c:pt idx="11">
                  <c:v>140</c:v>
                </c:pt>
                <c:pt idx="12">
                  <c:v>68</c:v>
                </c:pt>
                <c:pt idx="13">
                  <c:v>55</c:v>
                </c:pt>
                <c:pt idx="14">
                  <c:v>112</c:v>
                </c:pt>
                <c:pt idx="15">
                  <c:v>86</c:v>
                </c:pt>
                <c:pt idx="16">
                  <c:v>110</c:v>
                </c:pt>
                <c:pt idx="17">
                  <c:v>160</c:v>
                </c:pt>
                <c:pt idx="18">
                  <c:v>180</c:v>
                </c:pt>
                <c:pt idx="19">
                  <c:v>130</c:v>
                </c:pt>
                <c:pt idx="20">
                  <c:v>170</c:v>
                </c:pt>
                <c:pt idx="21">
                  <c:v>80</c:v>
                </c:pt>
                <c:pt idx="22">
                  <c:v>110</c:v>
                </c:pt>
                <c:pt idx="23">
                  <c:v>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994096"/>
        <c:axId val="5153811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马尔可夫链!$A$2</c15:sqref>
                        </c15:formulaRef>
                      </c:ext>
                    </c:extLst>
                    <c:strCache>
                      <c:ptCount val="1"/>
                      <c:pt idx="0">
                        <c:v>月份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马尔可夫链!$A$3:$A$26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510994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5381104"/>
        <c:crosses val="autoZero"/>
        <c:auto val="1"/>
        <c:lblAlgn val="ctr"/>
        <c:lblOffset val="100"/>
        <c:noMultiLvlLbl val="0"/>
      </c:catAx>
      <c:valAx>
        <c:axId val="5153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99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chart" Target="../charts/chart22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17" Type="http://schemas.openxmlformats.org/officeDocument/2006/relationships/chart" Target="../charts/chart26.xml"/><Relationship Id="rId2" Type="http://schemas.openxmlformats.org/officeDocument/2006/relationships/chart" Target="../charts/chart11.xml"/><Relationship Id="rId16" Type="http://schemas.openxmlformats.org/officeDocument/2006/relationships/chart" Target="../charts/chart25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5" Type="http://schemas.openxmlformats.org/officeDocument/2006/relationships/chart" Target="../charts/chart2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9</xdr:row>
      <xdr:rowOff>95250</xdr:rowOff>
    </xdr:from>
    <xdr:to>
      <xdr:col>11</xdr:col>
      <xdr:colOff>619125</xdr:colOff>
      <xdr:row>25</xdr:row>
      <xdr:rowOff>95250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27</xdr:row>
      <xdr:rowOff>104775</xdr:rowOff>
    </xdr:from>
    <xdr:to>
      <xdr:col>15</xdr:col>
      <xdr:colOff>314325</xdr:colOff>
      <xdr:row>37</xdr:row>
      <xdr:rowOff>114300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314325</xdr:colOff>
      <xdr:row>38</xdr:row>
      <xdr:rowOff>9525</xdr:rowOff>
    </xdr:from>
    <xdr:to>
      <xdr:col>15</xdr:col>
      <xdr:colOff>314325</xdr:colOff>
      <xdr:row>48</xdr:row>
      <xdr:rowOff>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381000</xdr:colOff>
      <xdr:row>15</xdr:row>
      <xdr:rowOff>95250</xdr:rowOff>
    </xdr:from>
    <xdr:to>
      <xdr:col>18</xdr:col>
      <xdr:colOff>381000</xdr:colOff>
      <xdr:row>25</xdr:row>
      <xdr:rowOff>123825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314325</xdr:colOff>
      <xdr:row>1</xdr:row>
      <xdr:rowOff>161925</xdr:rowOff>
    </xdr:from>
    <xdr:to>
      <xdr:col>20</xdr:col>
      <xdr:colOff>314325</xdr:colOff>
      <xdr:row>11</xdr:row>
      <xdr:rowOff>161925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314325</xdr:colOff>
      <xdr:row>3</xdr:row>
      <xdr:rowOff>161925</xdr:rowOff>
    </xdr:from>
    <xdr:to>
      <xdr:col>21</xdr:col>
      <xdr:colOff>314325</xdr:colOff>
      <xdr:row>13</xdr:row>
      <xdr:rowOff>161925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314325</xdr:colOff>
      <xdr:row>5</xdr:row>
      <xdr:rowOff>161925</xdr:rowOff>
    </xdr:from>
    <xdr:to>
      <xdr:col>22</xdr:col>
      <xdr:colOff>314325</xdr:colOff>
      <xdr:row>15</xdr:row>
      <xdr:rowOff>161925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314325</xdr:colOff>
      <xdr:row>7</xdr:row>
      <xdr:rowOff>161925</xdr:rowOff>
    </xdr:from>
    <xdr:to>
      <xdr:col>23</xdr:col>
      <xdr:colOff>314325</xdr:colOff>
      <xdr:row>17</xdr:row>
      <xdr:rowOff>161925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314325</xdr:colOff>
      <xdr:row>9</xdr:row>
      <xdr:rowOff>161925</xdr:rowOff>
    </xdr:from>
    <xdr:to>
      <xdr:col>24</xdr:col>
      <xdr:colOff>314325</xdr:colOff>
      <xdr:row>19</xdr:row>
      <xdr:rowOff>161925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0</xdr:row>
      <xdr:rowOff>123825</xdr:rowOff>
    </xdr:from>
    <xdr:to>
      <xdr:col>6</xdr:col>
      <xdr:colOff>304800</xdr:colOff>
      <xdr:row>16</xdr:row>
      <xdr:rowOff>123825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142875</xdr:rowOff>
    </xdr:from>
    <xdr:to>
      <xdr:col>15</xdr:col>
      <xdr:colOff>0</xdr:colOff>
      <xdr:row>23</xdr:row>
      <xdr:rowOff>142875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104775</xdr:colOff>
      <xdr:row>24</xdr:row>
      <xdr:rowOff>133350</xdr:rowOff>
    </xdr:from>
    <xdr:to>
      <xdr:col>15</xdr:col>
      <xdr:colOff>104775</xdr:colOff>
      <xdr:row>34</xdr:row>
      <xdr:rowOff>123825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200025</xdr:colOff>
      <xdr:row>35</xdr:row>
      <xdr:rowOff>38100</xdr:rowOff>
    </xdr:from>
    <xdr:to>
      <xdr:col>14</xdr:col>
      <xdr:colOff>200025</xdr:colOff>
      <xdr:row>45</xdr:row>
      <xdr:rowOff>47625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180975</xdr:colOff>
      <xdr:row>47</xdr:row>
      <xdr:rowOff>66675</xdr:rowOff>
    </xdr:from>
    <xdr:to>
      <xdr:col>15</xdr:col>
      <xdr:colOff>180975</xdr:colOff>
      <xdr:row>57</xdr:row>
      <xdr:rowOff>76200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209550</xdr:colOff>
      <xdr:row>58</xdr:row>
      <xdr:rowOff>57150</xdr:rowOff>
    </xdr:from>
    <xdr:to>
      <xdr:col>15</xdr:col>
      <xdr:colOff>209550</xdr:colOff>
      <xdr:row>68</xdr:row>
      <xdr:rowOff>47625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47625</xdr:colOff>
      <xdr:row>69</xdr:row>
      <xdr:rowOff>142875</xdr:rowOff>
    </xdr:from>
    <xdr:to>
      <xdr:col>15</xdr:col>
      <xdr:colOff>47625</xdr:colOff>
      <xdr:row>79</xdr:row>
      <xdr:rowOff>161925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85725</xdr:colOff>
      <xdr:row>27</xdr:row>
      <xdr:rowOff>66675</xdr:rowOff>
    </xdr:from>
    <xdr:to>
      <xdr:col>23</xdr:col>
      <xdr:colOff>85725</xdr:colOff>
      <xdr:row>37</xdr:row>
      <xdr:rowOff>66675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390525</xdr:colOff>
      <xdr:row>41</xdr:row>
      <xdr:rowOff>85725</xdr:rowOff>
    </xdr:from>
    <xdr:to>
      <xdr:col>23</xdr:col>
      <xdr:colOff>390525</xdr:colOff>
      <xdr:row>51</xdr:row>
      <xdr:rowOff>85725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523875</xdr:colOff>
      <xdr:row>54</xdr:row>
      <xdr:rowOff>66675</xdr:rowOff>
    </xdr:from>
    <xdr:to>
      <xdr:col>23</xdr:col>
      <xdr:colOff>523875</xdr:colOff>
      <xdr:row>64</xdr:row>
      <xdr:rowOff>57150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581025</xdr:colOff>
      <xdr:row>13</xdr:row>
      <xdr:rowOff>133350</xdr:rowOff>
    </xdr:from>
    <xdr:to>
      <xdr:col>13</xdr:col>
      <xdr:colOff>581025</xdr:colOff>
      <xdr:row>23</xdr:row>
      <xdr:rowOff>133350</xdr:rowOff>
    </xdr:to>
    <xdr:graphicFrame macro="">
      <xdr:nvGraphicFramePr>
        <xdr:cNvPr id="12" name="图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314325</xdr:colOff>
      <xdr:row>26</xdr:row>
      <xdr:rowOff>19050</xdr:rowOff>
    </xdr:from>
    <xdr:to>
      <xdr:col>16</xdr:col>
      <xdr:colOff>314325</xdr:colOff>
      <xdr:row>36</xdr:row>
      <xdr:rowOff>0</xdr:rowOff>
    </xdr:to>
    <xdr:graphicFrame macro="">
      <xdr:nvGraphicFramePr>
        <xdr:cNvPr id="13" name="图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361950</xdr:colOff>
      <xdr:row>25</xdr:row>
      <xdr:rowOff>161925</xdr:rowOff>
    </xdr:from>
    <xdr:to>
      <xdr:col>22</xdr:col>
      <xdr:colOff>361950</xdr:colOff>
      <xdr:row>35</xdr:row>
      <xdr:rowOff>161925</xdr:rowOff>
    </xdr:to>
    <xdr:graphicFrame macro="">
      <xdr:nvGraphicFramePr>
        <xdr:cNvPr id="14" name="图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304800</xdr:colOff>
      <xdr:row>9</xdr:row>
      <xdr:rowOff>142875</xdr:rowOff>
    </xdr:from>
    <xdr:to>
      <xdr:col>20</xdr:col>
      <xdr:colOff>304800</xdr:colOff>
      <xdr:row>20</xdr:row>
      <xdr:rowOff>0</xdr:rowOff>
    </xdr:to>
    <xdr:graphicFrame macro="">
      <xdr:nvGraphicFramePr>
        <xdr:cNvPr id="15" name="图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16</xdr:col>
      <xdr:colOff>428625</xdr:colOff>
      <xdr:row>13</xdr:row>
      <xdr:rowOff>38100</xdr:rowOff>
    </xdr:from>
    <xdr:to>
      <xdr:col>22</xdr:col>
      <xdr:colOff>428625</xdr:colOff>
      <xdr:row>23</xdr:row>
      <xdr:rowOff>38100</xdr:rowOff>
    </xdr:to>
    <xdr:graphicFrame macro="">
      <xdr:nvGraphicFramePr>
        <xdr:cNvPr id="16" name="图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219075</xdr:colOff>
      <xdr:row>37</xdr:row>
      <xdr:rowOff>104775</xdr:rowOff>
    </xdr:from>
    <xdr:to>
      <xdr:col>12</xdr:col>
      <xdr:colOff>219075</xdr:colOff>
      <xdr:row>47</xdr:row>
      <xdr:rowOff>123825</xdr:rowOff>
    </xdr:to>
    <xdr:graphicFrame macro="">
      <xdr:nvGraphicFramePr>
        <xdr:cNvPr id="17" name="图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314325</xdr:colOff>
      <xdr:row>36</xdr:row>
      <xdr:rowOff>0</xdr:rowOff>
    </xdr:from>
    <xdr:to>
      <xdr:col>21</xdr:col>
      <xdr:colOff>314325</xdr:colOff>
      <xdr:row>46</xdr:row>
      <xdr:rowOff>19050</xdr:rowOff>
    </xdr:to>
    <xdr:graphicFrame macro="">
      <xdr:nvGraphicFramePr>
        <xdr:cNvPr id="18" name="图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295275</xdr:colOff>
      <xdr:row>1</xdr:row>
      <xdr:rowOff>104774</xdr:rowOff>
    </xdr:from>
    <xdr:to>
      <xdr:col>20</xdr:col>
      <xdr:colOff>428625</xdr:colOff>
      <xdr:row>18</xdr:row>
      <xdr:rowOff>47624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19</xdr:row>
      <xdr:rowOff>9524</xdr:rowOff>
    </xdr:from>
    <xdr:to>
      <xdr:col>20</xdr:col>
      <xdr:colOff>438150</xdr:colOff>
      <xdr:row>40</xdr:row>
      <xdr:rowOff>123824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628649</xdr:colOff>
      <xdr:row>1</xdr:row>
      <xdr:rowOff>123825</xdr:rowOff>
    </xdr:from>
    <xdr:to>
      <xdr:col>18</xdr:col>
      <xdr:colOff>161924</xdr:colOff>
      <xdr:row>21</xdr:row>
      <xdr:rowOff>180975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600074</xdr:colOff>
      <xdr:row>22</xdr:row>
      <xdr:rowOff>66675</xdr:rowOff>
    </xdr:from>
    <xdr:to>
      <xdr:col>18</xdr:col>
      <xdr:colOff>190499</xdr:colOff>
      <xdr:row>40</xdr:row>
      <xdr:rowOff>142875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85725</xdr:rowOff>
    </xdr:from>
    <xdr:to>
      <xdr:col>6</xdr:col>
      <xdr:colOff>457200</xdr:colOff>
      <xdr:row>47</xdr:row>
      <xdr:rowOff>85725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4"/>
  <sheetViews>
    <sheetView topLeftCell="A7" workbookViewId="0">
      <selection activeCell="E46" sqref="E46"/>
    </sheetView>
  </sheetViews>
  <sheetFormatPr defaultRowHeight="13.5" x14ac:dyDescent="0.15"/>
  <cols>
    <col min="6" max="6" width="17" customWidth="1"/>
  </cols>
  <sheetData>
    <row r="1" spans="1:13" x14ac:dyDescent="0.15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x14ac:dyDescent="0.15">
      <c r="A2" s="1" t="s">
        <v>1</v>
      </c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</row>
    <row r="3" spans="1:13" x14ac:dyDescent="0.15">
      <c r="A3" s="1" t="s">
        <v>2</v>
      </c>
      <c r="B3" s="1">
        <v>15</v>
      </c>
      <c r="C3" s="1">
        <v>20</v>
      </c>
      <c r="D3" s="1">
        <v>17</v>
      </c>
      <c r="E3" s="1">
        <v>18</v>
      </c>
      <c r="F3" s="1">
        <v>25</v>
      </c>
      <c r="G3" s="1">
        <v>32</v>
      </c>
      <c r="H3" s="1">
        <v>28</v>
      </c>
      <c r="I3" s="1">
        <v>20</v>
      </c>
      <c r="J3" s="1">
        <v>22</v>
      </c>
      <c r="K3" s="1">
        <v>33</v>
      </c>
      <c r="L3" s="1">
        <v>33</v>
      </c>
      <c r="M3" s="1">
        <v>31</v>
      </c>
    </row>
    <row r="4" spans="1:13" x14ac:dyDescent="0.15">
      <c r="A4" s="1" t="s">
        <v>3</v>
      </c>
      <c r="B4" s="1">
        <v>22</v>
      </c>
      <c r="C4" s="1">
        <v>24</v>
      </c>
      <c r="D4" s="1">
        <v>25</v>
      </c>
      <c r="E4" s="1">
        <v>20</v>
      </c>
      <c r="F4" s="1">
        <v>32</v>
      </c>
      <c r="G4" s="1">
        <v>31</v>
      </c>
      <c r="H4" s="1">
        <v>33</v>
      </c>
      <c r="I4" s="1">
        <v>21</v>
      </c>
      <c r="J4" s="1">
        <v>26</v>
      </c>
      <c r="K4" s="1">
        <v>30</v>
      </c>
      <c r="L4" s="1">
        <v>38</v>
      </c>
      <c r="M4" s="1">
        <v>28</v>
      </c>
    </row>
    <row r="7" spans="1:13" x14ac:dyDescent="0.15">
      <c r="A7" s="1" t="s">
        <v>2</v>
      </c>
      <c r="B7" s="1" t="s">
        <v>3</v>
      </c>
      <c r="D7">
        <f>CORREL(A8:A19,B8:B19)</f>
        <v>0.82106066158810131</v>
      </c>
    </row>
    <row r="8" spans="1:13" x14ac:dyDescent="0.15">
      <c r="A8" s="1">
        <v>15</v>
      </c>
      <c r="B8" s="1">
        <v>22</v>
      </c>
    </row>
    <row r="9" spans="1:13" x14ac:dyDescent="0.15">
      <c r="A9" s="1">
        <v>20</v>
      </c>
      <c r="B9" s="1">
        <v>24</v>
      </c>
    </row>
    <row r="10" spans="1:13" x14ac:dyDescent="0.15">
      <c r="A10" s="1">
        <v>17</v>
      </c>
      <c r="B10" s="1">
        <v>25</v>
      </c>
    </row>
    <row r="11" spans="1:13" x14ac:dyDescent="0.15">
      <c r="A11" s="1">
        <v>18</v>
      </c>
      <c r="B11" s="1">
        <v>20</v>
      </c>
    </row>
    <row r="12" spans="1:13" x14ac:dyDescent="0.15">
      <c r="A12" s="1">
        <v>25</v>
      </c>
      <c r="B12" s="1">
        <v>32</v>
      </c>
    </row>
    <row r="13" spans="1:13" x14ac:dyDescent="0.15">
      <c r="A13" s="1">
        <v>32</v>
      </c>
      <c r="B13" s="1">
        <v>31</v>
      </c>
    </row>
    <row r="14" spans="1:13" x14ac:dyDescent="0.15">
      <c r="A14" s="1">
        <v>28</v>
      </c>
      <c r="B14" s="1">
        <v>33</v>
      </c>
    </row>
    <row r="15" spans="1:13" x14ac:dyDescent="0.15">
      <c r="A15" s="1">
        <v>20</v>
      </c>
      <c r="B15" s="1">
        <v>21</v>
      </c>
    </row>
    <row r="16" spans="1:13" x14ac:dyDescent="0.15">
      <c r="A16" s="1">
        <v>22</v>
      </c>
      <c r="B16" s="1">
        <v>26</v>
      </c>
    </row>
    <row r="17" spans="1:2" x14ac:dyDescent="0.15">
      <c r="A17" s="1">
        <v>33</v>
      </c>
      <c r="B17" s="1">
        <v>30</v>
      </c>
    </row>
    <row r="18" spans="1:2" x14ac:dyDescent="0.15">
      <c r="A18" s="1">
        <v>33</v>
      </c>
      <c r="B18" s="1">
        <v>38</v>
      </c>
    </row>
    <row r="19" spans="1:2" x14ac:dyDescent="0.15">
      <c r="A19" s="1">
        <v>31</v>
      </c>
      <c r="B19" s="1">
        <v>28</v>
      </c>
    </row>
    <row r="29" spans="1:2" x14ac:dyDescent="0.15">
      <c r="A29" t="s">
        <v>4</v>
      </c>
    </row>
    <row r="30" spans="1:2" ht="14.25" thickBot="1" x14ac:dyDescent="0.2"/>
    <row r="31" spans="1:2" x14ac:dyDescent="0.15">
      <c r="A31" s="5" t="s">
        <v>5</v>
      </c>
      <c r="B31" s="5"/>
    </row>
    <row r="32" spans="1:2" x14ac:dyDescent="0.15">
      <c r="A32" s="2" t="s">
        <v>6</v>
      </c>
      <c r="B32" s="2">
        <v>0.8210606615881012</v>
      </c>
    </row>
    <row r="33" spans="1:9" x14ac:dyDescent="0.15">
      <c r="A33" s="2" t="s">
        <v>7</v>
      </c>
      <c r="B33" s="2">
        <v>0.67414061000749048</v>
      </c>
    </row>
    <row r="34" spans="1:9" x14ac:dyDescent="0.15">
      <c r="A34" s="2" t="s">
        <v>8</v>
      </c>
      <c r="B34" s="2">
        <v>0.6415546710082396</v>
      </c>
    </row>
    <row r="35" spans="1:9" x14ac:dyDescent="0.15">
      <c r="A35" s="2" t="s">
        <v>9</v>
      </c>
      <c r="B35" s="2">
        <v>3.2742592949785703</v>
      </c>
    </row>
    <row r="36" spans="1:9" ht="14.25" thickBot="1" x14ac:dyDescent="0.2">
      <c r="A36" s="3" t="s">
        <v>10</v>
      </c>
      <c r="B36" s="3">
        <v>12</v>
      </c>
    </row>
    <row r="38" spans="1:9" ht="14.25" thickBot="1" x14ac:dyDescent="0.2">
      <c r="A38" t="s">
        <v>11</v>
      </c>
    </row>
    <row r="39" spans="1:9" x14ac:dyDescent="0.15">
      <c r="A39" s="4"/>
      <c r="B39" s="4" t="s">
        <v>16</v>
      </c>
      <c r="C39" s="4" t="s">
        <v>17</v>
      </c>
      <c r="D39" s="4" t="s">
        <v>18</v>
      </c>
      <c r="E39" s="4" t="s">
        <v>19</v>
      </c>
      <c r="F39" s="4" t="s">
        <v>20</v>
      </c>
    </row>
    <row r="40" spans="1:9" x14ac:dyDescent="0.15">
      <c r="A40" s="2" t="s">
        <v>12</v>
      </c>
      <c r="B40" s="2">
        <v>1</v>
      </c>
      <c r="C40" s="2">
        <v>221.79226069246437</v>
      </c>
      <c r="D40" s="2">
        <v>221.79226069246437</v>
      </c>
      <c r="E40" s="2">
        <v>20.688082980299779</v>
      </c>
      <c r="F40" s="2">
        <v>1.060876005520822E-3</v>
      </c>
    </row>
    <row r="41" spans="1:9" x14ac:dyDescent="0.15">
      <c r="A41" s="2" t="s">
        <v>13</v>
      </c>
      <c r="B41" s="2">
        <v>10</v>
      </c>
      <c r="C41" s="2">
        <v>107.20773930753565</v>
      </c>
      <c r="D41" s="2">
        <v>10.720773930753564</v>
      </c>
      <c r="E41" s="2"/>
      <c r="F41" s="2"/>
    </row>
    <row r="42" spans="1:9" ht="14.25" thickBot="1" x14ac:dyDescent="0.2">
      <c r="A42" s="3" t="s">
        <v>14</v>
      </c>
      <c r="B42" s="3">
        <v>11</v>
      </c>
      <c r="C42" s="3">
        <v>329</v>
      </c>
      <c r="D42" s="3"/>
      <c r="E42" s="3"/>
      <c r="F42" s="3"/>
    </row>
    <row r="43" spans="1:9" ht="14.25" thickBot="1" x14ac:dyDescent="0.2"/>
    <row r="44" spans="1:9" x14ac:dyDescent="0.15">
      <c r="A44" s="4"/>
      <c r="B44" s="4" t="s">
        <v>21</v>
      </c>
      <c r="C44" s="4" t="s">
        <v>9</v>
      </c>
      <c r="D44" s="4" t="s">
        <v>22</v>
      </c>
      <c r="E44" s="4" t="s">
        <v>23</v>
      </c>
      <c r="F44" s="4" t="s">
        <v>24</v>
      </c>
      <c r="G44" s="4" t="s">
        <v>25</v>
      </c>
      <c r="H44" s="4" t="s">
        <v>26</v>
      </c>
      <c r="I44" s="4" t="s">
        <v>27</v>
      </c>
    </row>
    <row r="45" spans="1:9" x14ac:dyDescent="0.15">
      <c r="A45" s="2" t="s">
        <v>15</v>
      </c>
      <c r="B45" s="2">
        <v>11.033604887983707</v>
      </c>
      <c r="C45" s="2">
        <v>3.7416037396194612</v>
      </c>
      <c r="D45" s="2">
        <v>2.9488972258472983</v>
      </c>
      <c r="E45" s="2">
        <v>1.4562111000844442E-2</v>
      </c>
      <c r="F45" s="2">
        <v>2.696792227000449</v>
      </c>
      <c r="G45" s="2">
        <v>19.370417548966962</v>
      </c>
      <c r="H45" s="2">
        <v>2.696792227000449</v>
      </c>
      <c r="I45" s="2">
        <v>19.370417548966962</v>
      </c>
    </row>
    <row r="46" spans="1:9" ht="14.25" thickBot="1" x14ac:dyDescent="0.2">
      <c r="A46" s="3" t="s">
        <v>28</v>
      </c>
      <c r="B46" s="3">
        <v>0.67209775967413443</v>
      </c>
      <c r="C46" s="3">
        <v>0.14776525343846689</v>
      </c>
      <c r="D46" s="3">
        <v>4.5484154362041043</v>
      </c>
      <c r="E46" s="3">
        <v>1.060876005520823E-3</v>
      </c>
      <c r="F46" s="3">
        <v>0.34285625751428794</v>
      </c>
      <c r="G46" s="3">
        <v>1.0013392618339809</v>
      </c>
      <c r="H46" s="3">
        <v>0.34285625751428794</v>
      </c>
      <c r="I46" s="3">
        <v>1.0013392618339809</v>
      </c>
    </row>
    <row r="50" spans="1:7" x14ac:dyDescent="0.15">
      <c r="A50" t="s">
        <v>102</v>
      </c>
      <c r="F50" t="s">
        <v>105</v>
      </c>
    </row>
    <row r="51" spans="1:7" ht="14.25" thickBot="1" x14ac:dyDescent="0.2"/>
    <row r="52" spans="1:7" x14ac:dyDescent="0.15">
      <c r="A52" s="4" t="s">
        <v>10</v>
      </c>
      <c r="B52" s="4" t="s">
        <v>103</v>
      </c>
      <c r="C52" s="4" t="s">
        <v>13</v>
      </c>
      <c r="D52" s="4" t="s">
        <v>104</v>
      </c>
      <c r="F52" s="4" t="s">
        <v>106</v>
      </c>
      <c r="G52" s="4" t="s">
        <v>107</v>
      </c>
    </row>
    <row r="53" spans="1:7" x14ac:dyDescent="0.15">
      <c r="A53" s="2">
        <v>1</v>
      </c>
      <c r="B53" s="2">
        <v>21.115071283095723</v>
      </c>
      <c r="C53" s="2">
        <v>0.88492871690427677</v>
      </c>
      <c r="D53" s="2">
        <v>0.28345985600848367</v>
      </c>
      <c r="F53" s="2">
        <v>4.166666666666667</v>
      </c>
      <c r="G53" s="2">
        <v>20</v>
      </c>
    </row>
    <row r="54" spans="1:7" x14ac:dyDescent="0.15">
      <c r="A54" s="2">
        <v>2</v>
      </c>
      <c r="B54" s="2">
        <v>24.475560081466394</v>
      </c>
      <c r="C54" s="2">
        <v>-0.47556008146639428</v>
      </c>
      <c r="D54" s="2">
        <v>-0.15233113090444381</v>
      </c>
      <c r="F54" s="2">
        <v>12.5</v>
      </c>
      <c r="G54" s="2">
        <v>21</v>
      </c>
    </row>
    <row r="55" spans="1:7" x14ac:dyDescent="0.15">
      <c r="A55" s="2">
        <v>3</v>
      </c>
      <c r="B55" s="2">
        <v>22.459266802443992</v>
      </c>
      <c r="C55" s="2">
        <v>2.5407331975560083</v>
      </c>
      <c r="D55" s="2">
        <v>0.81384619187706209</v>
      </c>
      <c r="F55" s="2">
        <v>20.833333333333336</v>
      </c>
      <c r="G55" s="2">
        <v>22</v>
      </c>
    </row>
    <row r="56" spans="1:7" x14ac:dyDescent="0.15">
      <c r="A56" s="2">
        <v>4</v>
      </c>
      <c r="B56" s="2">
        <v>23.131364562118126</v>
      </c>
      <c r="C56" s="2">
        <v>-3.1313645621181259</v>
      </c>
      <c r="D56" s="2">
        <v>-1.0030368897883628</v>
      </c>
      <c r="F56" s="2">
        <v>29.166666666666668</v>
      </c>
      <c r="G56" s="2">
        <v>24</v>
      </c>
    </row>
    <row r="57" spans="1:7" x14ac:dyDescent="0.15">
      <c r="A57" s="2">
        <v>5</v>
      </c>
      <c r="B57" s="2">
        <v>27.836048879837069</v>
      </c>
      <c r="C57" s="2">
        <v>4.1639511201629311</v>
      </c>
      <c r="D57" s="2">
        <v>1.3337944202746714</v>
      </c>
      <c r="F57" s="2">
        <v>37.5</v>
      </c>
      <c r="G57" s="2">
        <v>25</v>
      </c>
    </row>
    <row r="58" spans="1:7" x14ac:dyDescent="0.15">
      <c r="A58" s="2">
        <v>6</v>
      </c>
      <c r="B58" s="2">
        <v>32.540733197556008</v>
      </c>
      <c r="C58" s="2">
        <v>-1.5407331975560083</v>
      </c>
      <c r="D58" s="2">
        <v>-0.49352676886172142</v>
      </c>
      <c r="F58" s="2">
        <v>45.833333333333336</v>
      </c>
      <c r="G58" s="2">
        <v>26</v>
      </c>
    </row>
    <row r="59" spans="1:7" x14ac:dyDescent="0.15">
      <c r="A59" s="2">
        <v>7</v>
      </c>
      <c r="B59" s="2">
        <v>29.852342158859472</v>
      </c>
      <c r="C59" s="2">
        <v>3.1476578411405285</v>
      </c>
      <c r="D59" s="2">
        <v>1.0082559435238467</v>
      </c>
      <c r="F59" s="2">
        <v>54.166666666666664</v>
      </c>
      <c r="G59" s="2">
        <v>28</v>
      </c>
    </row>
    <row r="60" spans="1:7" x14ac:dyDescent="0.15">
      <c r="A60" s="2">
        <v>8</v>
      </c>
      <c r="B60" s="2">
        <v>24.475560081466394</v>
      </c>
      <c r="C60" s="2">
        <v>-3.4755600814663943</v>
      </c>
      <c r="D60" s="2">
        <v>-1.1132893999504656</v>
      </c>
      <c r="F60" s="2">
        <v>62.5</v>
      </c>
      <c r="G60" s="2">
        <v>30</v>
      </c>
    </row>
    <row r="61" spans="1:7" x14ac:dyDescent="0.15">
      <c r="A61" s="2">
        <v>9</v>
      </c>
      <c r="B61" s="2">
        <v>25.819755600814666</v>
      </c>
      <c r="C61" s="2">
        <v>0.18024439918533375</v>
      </c>
      <c r="D61" s="2">
        <v>5.7735781948792836E-2</v>
      </c>
      <c r="F61" s="2">
        <v>70.833333333333343</v>
      </c>
      <c r="G61" s="2">
        <v>31</v>
      </c>
    </row>
    <row r="62" spans="1:7" x14ac:dyDescent="0.15">
      <c r="A62" s="2">
        <v>10</v>
      </c>
      <c r="B62" s="2">
        <v>33.212830957230139</v>
      </c>
      <c r="C62" s="2">
        <v>-3.212830957230139</v>
      </c>
      <c r="D62" s="2">
        <v>-1.0291321584657827</v>
      </c>
      <c r="F62" s="2">
        <v>79.166666666666671</v>
      </c>
      <c r="G62" s="2">
        <v>32</v>
      </c>
    </row>
    <row r="63" spans="1:7" x14ac:dyDescent="0.15">
      <c r="A63" s="2">
        <v>11</v>
      </c>
      <c r="B63" s="2">
        <v>33.212830957230139</v>
      </c>
      <c r="C63" s="2">
        <v>4.787169042769861</v>
      </c>
      <c r="D63" s="2">
        <v>1.5334232256569424</v>
      </c>
      <c r="F63" s="2">
        <v>87.500000000000014</v>
      </c>
      <c r="G63" s="2">
        <v>33</v>
      </c>
    </row>
    <row r="64" spans="1:7" ht="14.25" thickBot="1" x14ac:dyDescent="0.2">
      <c r="A64" s="3">
        <v>12</v>
      </c>
      <c r="B64" s="3">
        <v>31.868635437881874</v>
      </c>
      <c r="C64" s="3">
        <v>-3.8686354378818741</v>
      </c>
      <c r="D64" s="3">
        <v>-1.2391990713190215</v>
      </c>
      <c r="F64" s="3">
        <v>95.833333333333343</v>
      </c>
      <c r="G64" s="3">
        <v>38</v>
      </c>
    </row>
  </sheetData>
  <sortState ref="G53:G64">
    <sortCondition ref="G53"/>
  </sortState>
  <mergeCells count="1">
    <mergeCell ref="A1:M1"/>
  </mergeCells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workbookViewId="0">
      <selection activeCell="G6" sqref="G6"/>
    </sheetView>
  </sheetViews>
  <sheetFormatPr defaultRowHeight="13.5" x14ac:dyDescent="0.15"/>
  <cols>
    <col min="1" max="1" width="18.375" bestFit="1" customWidth="1"/>
    <col min="2" max="3" width="16.25" bestFit="1" customWidth="1"/>
    <col min="6" max="6" width="12.25" customWidth="1"/>
    <col min="7" max="7" width="15.75" customWidth="1"/>
  </cols>
  <sheetData>
    <row r="1" spans="1:11" ht="20.25" thickBot="1" x14ac:dyDescent="0.2">
      <c r="A1" s="15" t="s">
        <v>30</v>
      </c>
      <c r="B1" s="15"/>
      <c r="C1" s="15"/>
    </row>
    <row r="2" spans="1:11" ht="14.25" thickTop="1" x14ac:dyDescent="0.15">
      <c r="A2" s="1" t="s">
        <v>31</v>
      </c>
      <c r="B2" s="1" t="s">
        <v>32</v>
      </c>
      <c r="C2" s="1" t="s">
        <v>33</v>
      </c>
      <c r="F2" t="s">
        <v>4</v>
      </c>
    </row>
    <row r="3" spans="1:11" ht="14.25" thickBot="1" x14ac:dyDescent="0.2">
      <c r="A3" s="1">
        <v>96</v>
      </c>
      <c r="B3" s="1">
        <v>5.5</v>
      </c>
      <c r="C3" s="1">
        <v>1.5</v>
      </c>
    </row>
    <row r="4" spans="1:11" x14ac:dyDescent="0.15">
      <c r="A4" s="1">
        <v>90</v>
      </c>
      <c r="B4" s="1">
        <v>2</v>
      </c>
      <c r="C4" s="1">
        <v>2</v>
      </c>
      <c r="F4" s="5" t="s">
        <v>5</v>
      </c>
      <c r="G4" s="5"/>
    </row>
    <row r="5" spans="1:11" x14ac:dyDescent="0.15">
      <c r="A5" s="1">
        <v>95</v>
      </c>
      <c r="B5" s="1">
        <v>4</v>
      </c>
      <c r="C5" s="1">
        <v>1.5</v>
      </c>
      <c r="F5" s="2" t="s">
        <v>6</v>
      </c>
      <c r="G5" s="2">
        <v>0.93163765652442121</v>
      </c>
    </row>
    <row r="6" spans="1:11" x14ac:dyDescent="0.15">
      <c r="A6" s="1">
        <v>92</v>
      </c>
      <c r="B6" s="1">
        <v>2.5</v>
      </c>
      <c r="C6" s="1">
        <v>2.5</v>
      </c>
      <c r="F6" s="2" t="s">
        <v>7</v>
      </c>
      <c r="G6" s="2">
        <v>0.86794872305431547</v>
      </c>
    </row>
    <row r="7" spans="1:11" x14ac:dyDescent="0.15">
      <c r="A7" s="1">
        <v>95</v>
      </c>
      <c r="B7" s="1">
        <v>3</v>
      </c>
      <c r="C7" s="1">
        <v>3.5</v>
      </c>
      <c r="F7" s="2" t="s">
        <v>8</v>
      </c>
      <c r="G7" s="2">
        <v>0.81512821227604171</v>
      </c>
    </row>
    <row r="8" spans="1:11" x14ac:dyDescent="0.15">
      <c r="A8" s="1">
        <v>94</v>
      </c>
      <c r="B8" s="1">
        <v>3.5</v>
      </c>
      <c r="C8" s="1">
        <v>2.2999999999999998</v>
      </c>
      <c r="F8" s="2" t="s">
        <v>9</v>
      </c>
      <c r="G8" s="2">
        <v>0.82064700841652438</v>
      </c>
    </row>
    <row r="9" spans="1:11" ht="14.25" thickBot="1" x14ac:dyDescent="0.2">
      <c r="A9" s="1">
        <v>94</v>
      </c>
      <c r="B9" s="1">
        <v>2.5</v>
      </c>
      <c r="C9" s="1">
        <v>4.2</v>
      </c>
      <c r="F9" s="3" t="s">
        <v>10</v>
      </c>
      <c r="G9" s="3">
        <v>8</v>
      </c>
    </row>
    <row r="10" spans="1:11" x14ac:dyDescent="0.15">
      <c r="A10" s="1">
        <v>94</v>
      </c>
      <c r="B10" s="1">
        <v>3</v>
      </c>
      <c r="C10" s="1">
        <v>2.5</v>
      </c>
    </row>
    <row r="11" spans="1:11" ht="14.25" thickBot="1" x14ac:dyDescent="0.2">
      <c r="F11" t="s">
        <v>11</v>
      </c>
    </row>
    <row r="12" spans="1:11" x14ac:dyDescent="0.15">
      <c r="F12" s="4"/>
      <c r="G12" s="4" t="s">
        <v>16</v>
      </c>
      <c r="H12" s="4" t="s">
        <v>17</v>
      </c>
      <c r="I12" s="4" t="s">
        <v>18</v>
      </c>
      <c r="J12" s="4" t="s">
        <v>19</v>
      </c>
      <c r="K12" s="4" t="s">
        <v>20</v>
      </c>
    </row>
    <row r="13" spans="1:11" x14ac:dyDescent="0.15">
      <c r="F13" s="2" t="s">
        <v>12</v>
      </c>
      <c r="G13" s="2">
        <v>2</v>
      </c>
      <c r="H13" s="2">
        <v>22.132692437885044</v>
      </c>
      <c r="I13" s="2">
        <v>11.066346218942522</v>
      </c>
      <c r="J13" s="2">
        <v>16.432039566935067</v>
      </c>
      <c r="K13" s="2">
        <v>6.3366032106889477E-3</v>
      </c>
    </row>
    <row r="14" spans="1:11" x14ac:dyDescent="0.15">
      <c r="F14" s="2" t="s">
        <v>13</v>
      </c>
      <c r="G14" s="2">
        <v>5</v>
      </c>
      <c r="H14" s="2">
        <v>3.3673075621149557</v>
      </c>
      <c r="I14" s="2">
        <v>0.67346151242299113</v>
      </c>
      <c r="J14" s="2"/>
      <c r="K14" s="2"/>
    </row>
    <row r="15" spans="1:11" ht="14.25" thickBot="1" x14ac:dyDescent="0.2">
      <c r="F15" s="3" t="s">
        <v>14</v>
      </c>
      <c r="G15" s="3">
        <v>7</v>
      </c>
      <c r="H15" s="3">
        <v>25.5</v>
      </c>
      <c r="I15" s="3"/>
      <c r="J15" s="3"/>
      <c r="K15" s="3"/>
    </row>
    <row r="16" spans="1:11" ht="14.25" thickBot="1" x14ac:dyDescent="0.2"/>
    <row r="17" spans="6:14" x14ac:dyDescent="0.15">
      <c r="F17" s="4"/>
      <c r="G17" s="4" t="s">
        <v>21</v>
      </c>
      <c r="H17" s="4" t="s">
        <v>9</v>
      </c>
      <c r="I17" s="4" t="s">
        <v>22</v>
      </c>
      <c r="J17" s="4" t="s">
        <v>23</v>
      </c>
      <c r="K17" s="4" t="s">
        <v>24</v>
      </c>
      <c r="L17" s="4" t="s">
        <v>25</v>
      </c>
      <c r="M17" s="4" t="s">
        <v>26</v>
      </c>
      <c r="N17" s="4" t="s">
        <v>27</v>
      </c>
    </row>
    <row r="18" spans="6:14" x14ac:dyDescent="0.15">
      <c r="F18" s="2" t="s">
        <v>15</v>
      </c>
      <c r="G18" s="2">
        <v>84.419826010425837</v>
      </c>
      <c r="H18" s="2">
        <v>1.8477354740705192</v>
      </c>
      <c r="I18" s="2">
        <v>45.688263929062792</v>
      </c>
      <c r="J18" s="2">
        <v>9.4853643660602331E-8</v>
      </c>
      <c r="K18" s="2">
        <v>79.670070763719309</v>
      </c>
      <c r="L18" s="2">
        <v>89.169581257132364</v>
      </c>
      <c r="M18" s="2">
        <v>79.670070763719309</v>
      </c>
      <c r="N18" s="2">
        <v>89.169581257132364</v>
      </c>
    </row>
    <row r="19" spans="6:14" x14ac:dyDescent="0.15">
      <c r="F19" s="2" t="s">
        <v>108</v>
      </c>
      <c r="G19" s="2">
        <v>1.9245819511204385</v>
      </c>
      <c r="H19" s="2">
        <v>0.33571880982175512</v>
      </c>
      <c r="I19" s="2">
        <v>5.7327200467029726</v>
      </c>
      <c r="J19" s="2">
        <v>2.2615325507277005E-3</v>
      </c>
      <c r="K19" s="2">
        <v>1.0615892767111923</v>
      </c>
      <c r="L19" s="2">
        <v>2.7875746255296847</v>
      </c>
      <c r="M19" s="2">
        <v>1.0615892767111923</v>
      </c>
      <c r="N19" s="2">
        <v>2.7875746255296847</v>
      </c>
    </row>
    <row r="20" spans="6:14" ht="14.25" thickBot="1" x14ac:dyDescent="0.2">
      <c r="F20" s="3" t="s">
        <v>109</v>
      </c>
      <c r="G20" s="3">
        <v>1.2301130593730958</v>
      </c>
      <c r="H20" s="3">
        <v>0.39372310382873937</v>
      </c>
      <c r="I20" s="3">
        <v>3.1243100732746614</v>
      </c>
      <c r="J20" s="3">
        <v>2.6124713959118102E-2</v>
      </c>
      <c r="K20" s="3">
        <v>0.21801560040058754</v>
      </c>
      <c r="L20" s="3">
        <v>2.2422105183456038</v>
      </c>
      <c r="M20" s="3">
        <v>0.21801560040058754</v>
      </c>
      <c r="N20" s="3">
        <v>2.2422105183456038</v>
      </c>
    </row>
    <row r="24" spans="6:14" x14ac:dyDescent="0.15">
      <c r="F24" t="s">
        <v>102</v>
      </c>
      <c r="K24" t="s">
        <v>105</v>
      </c>
    </row>
    <row r="25" spans="6:14" ht="14.25" thickBot="1" x14ac:dyDescent="0.2"/>
    <row r="26" spans="6:14" x14ac:dyDescent="0.15">
      <c r="F26" s="4" t="s">
        <v>10</v>
      </c>
      <c r="G26" s="4" t="s">
        <v>110</v>
      </c>
      <c r="H26" s="4" t="s">
        <v>13</v>
      </c>
      <c r="I26" s="4" t="s">
        <v>104</v>
      </c>
      <c r="K26" s="4" t="s">
        <v>106</v>
      </c>
      <c r="L26" s="4" t="s">
        <v>111</v>
      </c>
    </row>
    <row r="27" spans="6:14" x14ac:dyDescent="0.15">
      <c r="F27" s="2">
        <v>1</v>
      </c>
      <c r="G27" s="2">
        <v>96.85019633064789</v>
      </c>
      <c r="H27" s="2">
        <v>-0.85019633064788991</v>
      </c>
      <c r="I27" s="2">
        <v>-1.2258204250611293</v>
      </c>
      <c r="K27" s="2">
        <v>6.25</v>
      </c>
      <c r="L27" s="2">
        <v>90</v>
      </c>
    </row>
    <row r="28" spans="6:14" x14ac:dyDescent="0.15">
      <c r="F28" s="2">
        <v>2</v>
      </c>
      <c r="G28" s="2">
        <v>90.729216031412903</v>
      </c>
      <c r="H28" s="2">
        <v>-0.72921603141290348</v>
      </c>
      <c r="I28" s="2">
        <v>-1.0513899829546078</v>
      </c>
      <c r="K28" s="2">
        <v>18.75</v>
      </c>
      <c r="L28" s="2">
        <v>92</v>
      </c>
    </row>
    <row r="29" spans="6:14" x14ac:dyDescent="0.15">
      <c r="F29" s="2">
        <v>3</v>
      </c>
      <c r="G29" s="2">
        <v>93.963323403967223</v>
      </c>
      <c r="H29" s="2">
        <v>1.0366765960327768</v>
      </c>
      <c r="I29" s="2">
        <v>1.4946892850401143</v>
      </c>
      <c r="K29" s="2">
        <v>31.25</v>
      </c>
      <c r="L29" s="2">
        <v>94</v>
      </c>
    </row>
    <row r="30" spans="6:14" x14ac:dyDescent="0.15">
      <c r="F30" s="2">
        <v>4</v>
      </c>
      <c r="G30" s="2">
        <v>92.306563536659667</v>
      </c>
      <c r="H30" s="2">
        <v>-0.30656353665966662</v>
      </c>
      <c r="I30" s="2">
        <v>-0.44200595941178017</v>
      </c>
      <c r="K30" s="2">
        <v>43.75</v>
      </c>
      <c r="L30" s="2">
        <v>94</v>
      </c>
    </row>
    <row r="31" spans="6:14" x14ac:dyDescent="0.15">
      <c r="F31" s="2">
        <v>5</v>
      </c>
      <c r="G31" s="2">
        <v>94.498967571592985</v>
      </c>
      <c r="H31" s="2">
        <v>0.50103242840701512</v>
      </c>
      <c r="I31" s="2">
        <v>0.72239288999432172</v>
      </c>
      <c r="K31" s="2">
        <v>56.25</v>
      </c>
      <c r="L31" s="2">
        <v>94</v>
      </c>
    </row>
    <row r="32" spans="6:14" x14ac:dyDescent="0.15">
      <c r="F32" s="2">
        <v>6</v>
      </c>
      <c r="G32" s="2">
        <v>93.985122875905503</v>
      </c>
      <c r="H32" s="2">
        <v>1.4877124094496708E-2</v>
      </c>
      <c r="I32" s="2">
        <v>2.1449966229924688E-2</v>
      </c>
      <c r="K32" s="2">
        <v>68.75</v>
      </c>
      <c r="L32" s="2">
        <v>95</v>
      </c>
    </row>
    <row r="33" spans="6:12" x14ac:dyDescent="0.15">
      <c r="F33" s="2">
        <v>7</v>
      </c>
      <c r="G33" s="2">
        <v>94.39775573759394</v>
      </c>
      <c r="H33" s="2">
        <v>-0.39775573759393978</v>
      </c>
      <c r="I33" s="2">
        <v>-0.57348766367451787</v>
      </c>
      <c r="K33" s="2">
        <v>81.25</v>
      </c>
      <c r="L33" s="2">
        <v>95</v>
      </c>
    </row>
    <row r="34" spans="6:12" ht="14.25" thickBot="1" x14ac:dyDescent="0.2">
      <c r="F34" s="3">
        <v>8</v>
      </c>
      <c r="G34" s="3">
        <v>93.268854512219889</v>
      </c>
      <c r="H34" s="3">
        <v>0.73114548778011113</v>
      </c>
      <c r="I34" s="3">
        <v>1.0541718898376746</v>
      </c>
      <c r="K34" s="3">
        <v>93.75</v>
      </c>
      <c r="L34" s="3">
        <v>96</v>
      </c>
    </row>
  </sheetData>
  <sortState ref="L27:L34">
    <sortCondition ref="L27"/>
  </sortState>
  <mergeCells count="1">
    <mergeCell ref="A1:C1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53"/>
  <sheetViews>
    <sheetView workbookViewId="0">
      <selection activeCell="B136" sqref="B136"/>
    </sheetView>
  </sheetViews>
  <sheetFormatPr defaultRowHeight="13.5" x14ac:dyDescent="0.15"/>
  <cols>
    <col min="2" max="2" width="18.25" customWidth="1"/>
  </cols>
  <sheetData>
    <row r="1" spans="1:9" x14ac:dyDescent="0.15">
      <c r="A1" s="16" t="s">
        <v>34</v>
      </c>
      <c r="B1" s="16"/>
      <c r="C1" s="16"/>
    </row>
    <row r="2" spans="1:9" x14ac:dyDescent="0.15">
      <c r="A2" t="s">
        <v>35</v>
      </c>
      <c r="B2" t="s">
        <v>36</v>
      </c>
      <c r="C2" t="s">
        <v>37</v>
      </c>
      <c r="D2" t="s">
        <v>112</v>
      </c>
      <c r="E2" t="s">
        <v>116</v>
      </c>
      <c r="G2" t="s">
        <v>36</v>
      </c>
    </row>
    <row r="3" spans="1:9" x14ac:dyDescent="0.15">
      <c r="A3">
        <v>1</v>
      </c>
      <c r="B3">
        <v>1.5</v>
      </c>
      <c r="C3">
        <v>7</v>
      </c>
      <c r="D3">
        <f>LN(C3)</f>
        <v>1.9459101490553132</v>
      </c>
      <c r="E3">
        <f>LN(B3)</f>
        <v>0.40546510810816438</v>
      </c>
      <c r="G3">
        <v>1.5</v>
      </c>
      <c r="H3">
        <f>G3^2</f>
        <v>2.25</v>
      </c>
      <c r="I3">
        <f>G3^3</f>
        <v>3.375</v>
      </c>
    </row>
    <row r="4" spans="1:9" x14ac:dyDescent="0.15">
      <c r="A4">
        <v>2</v>
      </c>
      <c r="B4">
        <v>4.5</v>
      </c>
      <c r="C4">
        <v>4.8</v>
      </c>
      <c r="D4">
        <f t="shared" ref="D4:D11" si="0">LN(C4)</f>
        <v>1.5686159179138452</v>
      </c>
      <c r="E4">
        <f t="shared" ref="E4:E11" si="1">LN(B4)</f>
        <v>1.5040773967762742</v>
      </c>
      <c r="G4">
        <v>4.5</v>
      </c>
      <c r="H4">
        <f t="shared" ref="H4:H11" si="2">G4^2</f>
        <v>20.25</v>
      </c>
      <c r="I4">
        <f t="shared" ref="I4:I11" si="3">G4^3</f>
        <v>91.125</v>
      </c>
    </row>
    <row r="5" spans="1:9" x14ac:dyDescent="0.15">
      <c r="A5">
        <v>3</v>
      </c>
      <c r="B5">
        <v>7.5</v>
      </c>
      <c r="C5">
        <v>3.6</v>
      </c>
      <c r="D5">
        <f t="shared" si="0"/>
        <v>1.2809338454620642</v>
      </c>
      <c r="E5">
        <f t="shared" si="1"/>
        <v>2.0149030205422647</v>
      </c>
      <c r="G5">
        <v>7.5</v>
      </c>
      <c r="H5">
        <f t="shared" si="2"/>
        <v>56.25</v>
      </c>
      <c r="I5">
        <f t="shared" si="3"/>
        <v>421.875</v>
      </c>
    </row>
    <row r="6" spans="1:9" x14ac:dyDescent="0.15">
      <c r="A6">
        <v>4</v>
      </c>
      <c r="B6">
        <v>10.5</v>
      </c>
      <c r="C6">
        <v>3.1</v>
      </c>
      <c r="D6">
        <f t="shared" si="0"/>
        <v>1.1314021114911006</v>
      </c>
      <c r="E6">
        <f t="shared" si="1"/>
        <v>2.3513752571634776</v>
      </c>
      <c r="G6">
        <v>10.5</v>
      </c>
      <c r="H6">
        <f t="shared" si="2"/>
        <v>110.25</v>
      </c>
      <c r="I6">
        <f t="shared" si="3"/>
        <v>1157.625</v>
      </c>
    </row>
    <row r="7" spans="1:9" x14ac:dyDescent="0.15">
      <c r="A7">
        <v>5</v>
      </c>
      <c r="B7">
        <v>13.5</v>
      </c>
      <c r="C7">
        <v>2.7</v>
      </c>
      <c r="D7">
        <f t="shared" si="0"/>
        <v>0.99325177301028345</v>
      </c>
      <c r="E7">
        <f t="shared" si="1"/>
        <v>2.6026896854443837</v>
      </c>
      <c r="G7">
        <v>13.5</v>
      </c>
      <c r="H7">
        <f t="shared" si="2"/>
        <v>182.25</v>
      </c>
      <c r="I7">
        <f t="shared" si="3"/>
        <v>2460.375</v>
      </c>
    </row>
    <row r="8" spans="1:9" x14ac:dyDescent="0.15">
      <c r="A8">
        <v>6</v>
      </c>
      <c r="B8">
        <v>16.5</v>
      </c>
      <c r="C8">
        <v>2.5</v>
      </c>
      <c r="D8">
        <f t="shared" si="0"/>
        <v>0.91629073187415511</v>
      </c>
      <c r="E8">
        <f t="shared" si="1"/>
        <v>2.8033603809065348</v>
      </c>
      <c r="G8">
        <v>16.5</v>
      </c>
      <c r="H8">
        <f t="shared" si="2"/>
        <v>272.25</v>
      </c>
      <c r="I8">
        <f t="shared" si="3"/>
        <v>4492.125</v>
      </c>
    </row>
    <row r="9" spans="1:9" x14ac:dyDescent="0.15">
      <c r="A9">
        <v>7</v>
      </c>
      <c r="B9">
        <v>19.5</v>
      </c>
      <c r="C9">
        <v>2.4</v>
      </c>
      <c r="D9">
        <f t="shared" si="0"/>
        <v>0.87546873735389985</v>
      </c>
      <c r="E9">
        <f t="shared" si="1"/>
        <v>2.9704144655697009</v>
      </c>
      <c r="G9">
        <v>19.5</v>
      </c>
      <c r="H9">
        <f t="shared" si="2"/>
        <v>380.25</v>
      </c>
      <c r="I9">
        <f t="shared" si="3"/>
        <v>7414.875</v>
      </c>
    </row>
    <row r="10" spans="1:9" x14ac:dyDescent="0.15">
      <c r="A10">
        <v>8</v>
      </c>
      <c r="B10">
        <v>22.5</v>
      </c>
      <c r="C10">
        <v>2.2999999999999998</v>
      </c>
      <c r="D10">
        <f t="shared" si="0"/>
        <v>0.83290912293510388</v>
      </c>
      <c r="E10">
        <f t="shared" si="1"/>
        <v>3.1135153092103742</v>
      </c>
      <c r="G10">
        <v>22.5</v>
      </c>
      <c r="H10">
        <f t="shared" si="2"/>
        <v>506.25</v>
      </c>
      <c r="I10">
        <f t="shared" si="3"/>
        <v>11390.625</v>
      </c>
    </row>
    <row r="11" spans="1:9" x14ac:dyDescent="0.15">
      <c r="A11">
        <v>9</v>
      </c>
      <c r="B11">
        <v>25.5</v>
      </c>
      <c r="C11">
        <v>2.2000000000000002</v>
      </c>
      <c r="D11">
        <f t="shared" si="0"/>
        <v>0.78845736036427028</v>
      </c>
      <c r="E11">
        <f t="shared" si="1"/>
        <v>3.2386784521643803</v>
      </c>
      <c r="G11">
        <v>25.5</v>
      </c>
      <c r="H11">
        <f t="shared" si="2"/>
        <v>650.25</v>
      </c>
      <c r="I11">
        <f t="shared" si="3"/>
        <v>16581.375</v>
      </c>
    </row>
    <row r="13" spans="1:9" x14ac:dyDescent="0.15">
      <c r="A13" t="s">
        <v>114</v>
      </c>
    </row>
    <row r="14" spans="1:9" x14ac:dyDescent="0.15">
      <c r="A14" t="s">
        <v>4</v>
      </c>
    </row>
    <row r="15" spans="1:9" ht="14.25" thickBot="1" x14ac:dyDescent="0.2"/>
    <row r="16" spans="1:9" x14ac:dyDescent="0.15">
      <c r="A16" s="5" t="s">
        <v>5</v>
      </c>
      <c r="B16" s="5"/>
    </row>
    <row r="17" spans="1:9" x14ac:dyDescent="0.15">
      <c r="A17" s="2" t="s">
        <v>6</v>
      </c>
      <c r="B17" s="2">
        <v>0.93620447204819901</v>
      </c>
    </row>
    <row r="18" spans="1:9" x14ac:dyDescent="0.15">
      <c r="A18" s="2" t="s">
        <v>7</v>
      </c>
      <c r="B18" s="2">
        <v>0.87647881348304701</v>
      </c>
    </row>
    <row r="19" spans="1:9" x14ac:dyDescent="0.15">
      <c r="A19" s="2" t="s">
        <v>8</v>
      </c>
      <c r="B19" s="2">
        <v>0.85589194906355492</v>
      </c>
    </row>
    <row r="20" spans="1:9" x14ac:dyDescent="0.15">
      <c r="A20" s="2" t="s">
        <v>9</v>
      </c>
      <c r="B20" s="2">
        <v>0.10104908098364467</v>
      </c>
    </row>
    <row r="21" spans="1:9" ht="14.25" thickBot="1" x14ac:dyDescent="0.2">
      <c r="A21" s="3" t="s">
        <v>10</v>
      </c>
      <c r="B21" s="3">
        <v>8</v>
      </c>
    </row>
    <row r="23" spans="1:9" ht="14.25" thickBot="1" x14ac:dyDescent="0.2">
      <c r="A23" t="s">
        <v>11</v>
      </c>
    </row>
    <row r="24" spans="1:9" x14ac:dyDescent="0.15">
      <c r="A24" s="4"/>
      <c r="B24" s="4" t="s">
        <v>16</v>
      </c>
      <c r="C24" s="4" t="s">
        <v>17</v>
      </c>
      <c r="D24" s="4" t="s">
        <v>18</v>
      </c>
      <c r="E24" s="4" t="s">
        <v>19</v>
      </c>
      <c r="F24" s="4" t="s">
        <v>20</v>
      </c>
    </row>
    <row r="25" spans="1:9" x14ac:dyDescent="0.15">
      <c r="A25" s="2" t="s">
        <v>12</v>
      </c>
      <c r="B25" s="2">
        <v>1</v>
      </c>
      <c r="C25" s="2">
        <v>0.43472633960715179</v>
      </c>
      <c r="D25" s="2">
        <v>0.43472633960715179</v>
      </c>
      <c r="E25" s="2">
        <v>42.574662931824392</v>
      </c>
      <c r="F25" s="2">
        <v>6.1843773351281776E-4</v>
      </c>
    </row>
    <row r="26" spans="1:9" x14ac:dyDescent="0.15">
      <c r="A26" s="2" t="s">
        <v>13</v>
      </c>
      <c r="B26" s="2">
        <v>6</v>
      </c>
      <c r="C26" s="2">
        <v>6.1265500605835056E-2</v>
      </c>
      <c r="D26" s="2">
        <v>1.0210916767639177E-2</v>
      </c>
      <c r="E26" s="2"/>
      <c r="F26" s="2"/>
    </row>
    <row r="27" spans="1:9" ht="14.25" thickBot="1" x14ac:dyDescent="0.2">
      <c r="A27" s="3" t="s">
        <v>14</v>
      </c>
      <c r="B27" s="3">
        <v>7</v>
      </c>
      <c r="C27" s="3">
        <v>0.49599184021298687</v>
      </c>
      <c r="D27" s="3"/>
      <c r="E27" s="3"/>
      <c r="F27" s="3"/>
    </row>
    <row r="28" spans="1:9" ht="14.25" thickBot="1" x14ac:dyDescent="0.2"/>
    <row r="29" spans="1:9" x14ac:dyDescent="0.15">
      <c r="A29" s="4"/>
      <c r="B29" s="4" t="s">
        <v>21</v>
      </c>
      <c r="C29" s="4" t="s">
        <v>9</v>
      </c>
      <c r="D29" s="4" t="s">
        <v>22</v>
      </c>
      <c r="E29" s="4" t="s">
        <v>23</v>
      </c>
      <c r="F29" s="4" t="s">
        <v>24</v>
      </c>
      <c r="G29" s="4" t="s">
        <v>25</v>
      </c>
      <c r="H29" s="4" t="s">
        <v>26</v>
      </c>
      <c r="I29" s="4" t="s">
        <v>27</v>
      </c>
    </row>
    <row r="30" spans="1:9" x14ac:dyDescent="0.15">
      <c r="A30" s="2" t="s">
        <v>15</v>
      </c>
      <c r="B30" s="2">
        <v>1.5571063595166352</v>
      </c>
      <c r="C30" s="2">
        <v>8.5757164385018986E-2</v>
      </c>
      <c r="D30" s="2">
        <v>18.157157721840996</v>
      </c>
      <c r="E30" s="2">
        <v>1.7965975794608339E-6</v>
      </c>
      <c r="F30" s="2">
        <v>1.3472661376623449</v>
      </c>
      <c r="G30" s="2">
        <v>1.7669465813709255</v>
      </c>
      <c r="H30" s="2">
        <v>1.3472661376623449</v>
      </c>
      <c r="I30" s="2">
        <v>1.7669465813709255</v>
      </c>
    </row>
    <row r="31" spans="1:9" ht="14.25" thickBot="1" x14ac:dyDescent="0.2">
      <c r="A31" s="3">
        <v>1.5</v>
      </c>
      <c r="B31" s="3">
        <v>-3.3912677297736331E-2</v>
      </c>
      <c r="C31" s="3">
        <v>5.1974039021223618E-3</v>
      </c>
      <c r="D31" s="3">
        <v>-6.5249262778842487</v>
      </c>
      <c r="E31" s="3">
        <v>6.1843773351281776E-4</v>
      </c>
      <c r="F31" s="3">
        <v>-4.6630266501026647E-2</v>
      </c>
      <c r="G31" s="3">
        <v>-2.1195088094446014E-2</v>
      </c>
      <c r="H31" s="3">
        <v>-4.6630266501026647E-2</v>
      </c>
      <c r="I31" s="3">
        <v>-2.1195088094446014E-2</v>
      </c>
    </row>
    <row r="35" spans="1:7" x14ac:dyDescent="0.15">
      <c r="A35" t="s">
        <v>102</v>
      </c>
      <c r="F35" t="s">
        <v>105</v>
      </c>
    </row>
    <row r="36" spans="1:7" ht="14.25" thickBot="1" x14ac:dyDescent="0.2"/>
    <row r="37" spans="1:7" x14ac:dyDescent="0.15">
      <c r="A37" s="4" t="s">
        <v>10</v>
      </c>
      <c r="B37" s="4" t="s">
        <v>113</v>
      </c>
      <c r="C37" s="4" t="s">
        <v>13</v>
      </c>
      <c r="D37" s="4" t="s">
        <v>104</v>
      </c>
      <c r="F37" s="4" t="s">
        <v>106</v>
      </c>
      <c r="G37" s="4">
        <v>1.9459101490553132</v>
      </c>
    </row>
    <row r="38" spans="1:7" x14ac:dyDescent="0.15">
      <c r="A38" s="2">
        <v>1</v>
      </c>
      <c r="B38" s="2">
        <v>1.4044993116768216</v>
      </c>
      <c r="C38" s="2">
        <v>0.16411660623702362</v>
      </c>
      <c r="D38" s="2">
        <v>1.7542583580366</v>
      </c>
      <c r="F38" s="2">
        <v>6.25</v>
      </c>
      <c r="G38" s="2">
        <v>0.78845736036427028</v>
      </c>
    </row>
    <row r="39" spans="1:7" x14ac:dyDescent="0.15">
      <c r="A39" s="2">
        <v>2</v>
      </c>
      <c r="B39" s="2">
        <v>1.3027612797836128</v>
      </c>
      <c r="C39" s="2">
        <v>-2.1827434321548544E-2</v>
      </c>
      <c r="D39" s="2">
        <v>-0.23331556733369307</v>
      </c>
      <c r="F39" s="2">
        <v>18.75</v>
      </c>
      <c r="G39" s="2">
        <v>0.83290912293510388</v>
      </c>
    </row>
    <row r="40" spans="1:7" x14ac:dyDescent="0.15">
      <c r="A40" s="2">
        <v>3</v>
      </c>
      <c r="B40" s="2">
        <v>1.2010232478904037</v>
      </c>
      <c r="C40" s="2">
        <v>-6.9621136399303118E-2</v>
      </c>
      <c r="D40" s="2">
        <v>-0.74418709492501778</v>
      </c>
      <c r="F40" s="2">
        <v>31.25</v>
      </c>
      <c r="G40" s="2">
        <v>0.87546873735389985</v>
      </c>
    </row>
    <row r="41" spans="1:7" x14ac:dyDescent="0.15">
      <c r="A41" s="2">
        <v>4</v>
      </c>
      <c r="B41" s="2">
        <v>1.0992852159971949</v>
      </c>
      <c r="C41" s="2">
        <v>-0.10603344298691142</v>
      </c>
      <c r="D41" s="2">
        <v>-1.133401779723276</v>
      </c>
      <c r="F41" s="2">
        <v>43.75</v>
      </c>
      <c r="G41" s="2">
        <v>0.91629073187415511</v>
      </c>
    </row>
    <row r="42" spans="1:7" x14ac:dyDescent="0.15">
      <c r="A42" s="2">
        <v>5</v>
      </c>
      <c r="B42" s="2">
        <v>0.9975471841039858</v>
      </c>
      <c r="C42" s="2">
        <v>-8.1256452229830689E-2</v>
      </c>
      <c r="D42" s="2">
        <v>-0.86855811692031593</v>
      </c>
      <c r="F42" s="2">
        <v>56.25</v>
      </c>
      <c r="G42" s="2">
        <v>0.99325177301028345</v>
      </c>
    </row>
    <row r="43" spans="1:7" x14ac:dyDescent="0.15">
      <c r="A43" s="2">
        <v>6</v>
      </c>
      <c r="B43" s="2">
        <v>0.89580915221077673</v>
      </c>
      <c r="C43" s="2">
        <v>-2.0340414856876876E-2</v>
      </c>
      <c r="D43" s="2">
        <v>-0.21742067172089982</v>
      </c>
      <c r="F43" s="2">
        <v>68.75</v>
      </c>
      <c r="G43" s="2">
        <v>1.1314021114911006</v>
      </c>
    </row>
    <row r="44" spans="1:7" x14ac:dyDescent="0.15">
      <c r="A44" s="2">
        <v>7</v>
      </c>
      <c r="B44" s="2">
        <v>0.79407112031756777</v>
      </c>
      <c r="C44" s="2">
        <v>3.8838002617536116E-2</v>
      </c>
      <c r="D44" s="2">
        <v>0.41514318546693157</v>
      </c>
      <c r="F44" s="2">
        <v>81.25</v>
      </c>
      <c r="G44" s="2">
        <v>1.2809338454620642</v>
      </c>
    </row>
    <row r="45" spans="1:7" ht="14.25" thickBot="1" x14ac:dyDescent="0.2">
      <c r="A45" s="3">
        <v>8</v>
      </c>
      <c r="B45" s="3">
        <v>0.69233308842435881</v>
      </c>
      <c r="C45" s="3">
        <v>9.6124271939911465E-2</v>
      </c>
      <c r="D45" s="3">
        <v>1.0274816871196768</v>
      </c>
      <c r="F45" s="3">
        <v>93.75</v>
      </c>
      <c r="G45" s="3">
        <v>1.5686159179138452</v>
      </c>
    </row>
    <row r="48" spans="1:7" x14ac:dyDescent="0.15">
      <c r="A48" t="s">
        <v>115</v>
      </c>
    </row>
    <row r="49" spans="1:9" x14ac:dyDescent="0.15">
      <c r="A49" t="s">
        <v>4</v>
      </c>
    </row>
    <row r="50" spans="1:9" ht="14.25" thickBot="1" x14ac:dyDescent="0.2"/>
    <row r="51" spans="1:9" x14ac:dyDescent="0.15">
      <c r="A51" s="5" t="s">
        <v>5</v>
      </c>
      <c r="B51" s="5"/>
    </row>
    <row r="52" spans="1:9" x14ac:dyDescent="0.15">
      <c r="A52" s="2" t="s">
        <v>6</v>
      </c>
      <c r="B52" s="2">
        <v>0.9751638807518328</v>
      </c>
    </row>
    <row r="53" spans="1:9" x14ac:dyDescent="0.15">
      <c r="A53" s="2" t="s">
        <v>7</v>
      </c>
      <c r="B53" s="2">
        <v>0.95094459432297473</v>
      </c>
    </row>
    <row r="54" spans="1:9" x14ac:dyDescent="0.15">
      <c r="A54" s="2" t="s">
        <v>8</v>
      </c>
      <c r="B54" s="2">
        <v>0.94276869337680391</v>
      </c>
    </row>
    <row r="55" spans="1:9" x14ac:dyDescent="0.15">
      <c r="A55" s="2" t="s">
        <v>9</v>
      </c>
      <c r="B55" s="2">
        <v>0.21050744197829724</v>
      </c>
    </row>
    <row r="56" spans="1:9" ht="14.25" thickBot="1" x14ac:dyDescent="0.2">
      <c r="A56" s="3" t="s">
        <v>10</v>
      </c>
      <c r="B56" s="3">
        <v>8</v>
      </c>
    </row>
    <row r="58" spans="1:9" ht="14.25" thickBot="1" x14ac:dyDescent="0.2">
      <c r="A58" t="s">
        <v>11</v>
      </c>
    </row>
    <row r="59" spans="1:9" x14ac:dyDescent="0.15">
      <c r="A59" s="4"/>
      <c r="B59" s="4" t="s">
        <v>16</v>
      </c>
      <c r="C59" s="4" t="s">
        <v>17</v>
      </c>
      <c r="D59" s="4" t="s">
        <v>18</v>
      </c>
      <c r="E59" s="4" t="s">
        <v>19</v>
      </c>
      <c r="F59" s="4" t="s">
        <v>20</v>
      </c>
    </row>
    <row r="60" spans="1:9" x14ac:dyDescent="0.15">
      <c r="A60" s="2" t="s">
        <v>12</v>
      </c>
      <c r="B60" s="2">
        <v>1</v>
      </c>
      <c r="C60" s="2">
        <v>5.1541197012305222</v>
      </c>
      <c r="D60" s="2">
        <v>5.1541197012305222</v>
      </c>
      <c r="E60" s="2">
        <v>116.31067946931792</v>
      </c>
      <c r="F60" s="2">
        <v>3.7589472171175655E-5</v>
      </c>
    </row>
    <row r="61" spans="1:9" x14ac:dyDescent="0.15">
      <c r="A61" s="2" t="s">
        <v>13</v>
      </c>
      <c r="B61" s="2">
        <v>6</v>
      </c>
      <c r="C61" s="2">
        <v>0.26588029876947711</v>
      </c>
      <c r="D61" s="2">
        <v>4.4313383128246182E-2</v>
      </c>
      <c r="E61" s="2"/>
      <c r="F61" s="2"/>
    </row>
    <row r="62" spans="1:9" ht="14.25" thickBot="1" x14ac:dyDescent="0.2">
      <c r="A62" s="3" t="s">
        <v>14</v>
      </c>
      <c r="B62" s="3">
        <v>7</v>
      </c>
      <c r="C62" s="3">
        <v>5.419999999999999</v>
      </c>
      <c r="D62" s="3"/>
      <c r="E62" s="3"/>
      <c r="F62" s="3"/>
    </row>
    <row r="63" spans="1:9" ht="14.25" thickBot="1" x14ac:dyDescent="0.2"/>
    <row r="64" spans="1:9" x14ac:dyDescent="0.15">
      <c r="A64" s="4"/>
      <c r="B64" s="4" t="s">
        <v>21</v>
      </c>
      <c r="C64" s="4" t="s">
        <v>9</v>
      </c>
      <c r="D64" s="4" t="s">
        <v>22</v>
      </c>
      <c r="E64" s="4" t="s">
        <v>23</v>
      </c>
      <c r="F64" s="4" t="s">
        <v>24</v>
      </c>
      <c r="G64" s="4" t="s">
        <v>25</v>
      </c>
      <c r="H64" s="4" t="s">
        <v>26</v>
      </c>
      <c r="I64" s="4" t="s">
        <v>27</v>
      </c>
    </row>
    <row r="65" spans="1:9" x14ac:dyDescent="0.15">
      <c r="A65" s="2" t="s">
        <v>15</v>
      </c>
      <c r="B65" s="2">
        <v>6.6844069331921574</v>
      </c>
      <c r="C65" s="2">
        <v>0.35417568627998219</v>
      </c>
      <c r="D65" s="2">
        <v>18.873138931134914</v>
      </c>
      <c r="E65" s="2">
        <v>1.4295244270878534E-6</v>
      </c>
      <c r="F65" s="2">
        <v>5.8177702490462657</v>
      </c>
      <c r="G65" s="2">
        <v>7.5510436173380491</v>
      </c>
      <c r="H65" s="2">
        <v>5.8177702490462657</v>
      </c>
      <c r="I65" s="2">
        <v>7.5510436173380491</v>
      </c>
    </row>
    <row r="66" spans="1:9" ht="14.25" thickBot="1" x14ac:dyDescent="0.2">
      <c r="A66" s="3">
        <v>0.40546510810816438</v>
      </c>
      <c r="B66" s="3">
        <v>-1.4503245404013274</v>
      </c>
      <c r="C66" s="3">
        <v>0.13447928740964571</v>
      </c>
      <c r="D66" s="3">
        <v>-10.784742902328176</v>
      </c>
      <c r="E66" s="3">
        <v>3.7589472171175594E-5</v>
      </c>
      <c r="F66" s="3">
        <v>-1.77938350249752</v>
      </c>
      <c r="G66" s="3">
        <v>-1.1212655783051348</v>
      </c>
      <c r="H66" s="3">
        <v>-1.77938350249752</v>
      </c>
      <c r="I66" s="3">
        <v>-1.1212655783051348</v>
      </c>
    </row>
    <row r="70" spans="1:9" x14ac:dyDescent="0.15">
      <c r="A70" t="s">
        <v>102</v>
      </c>
      <c r="F70" t="s">
        <v>105</v>
      </c>
    </row>
    <row r="71" spans="1:9" ht="14.25" thickBot="1" x14ac:dyDescent="0.2"/>
    <row r="72" spans="1:9" x14ac:dyDescent="0.15">
      <c r="A72" s="4" t="s">
        <v>10</v>
      </c>
      <c r="B72" s="4" t="s">
        <v>117</v>
      </c>
      <c r="C72" s="4" t="s">
        <v>13</v>
      </c>
      <c r="D72" s="4" t="s">
        <v>104</v>
      </c>
      <c r="F72" s="4" t="s">
        <v>106</v>
      </c>
      <c r="G72" s="4">
        <v>7</v>
      </c>
    </row>
    <row r="73" spans="1:9" x14ac:dyDescent="0.15">
      <c r="A73" s="2">
        <v>1</v>
      </c>
      <c r="B73" s="2">
        <v>4.5030065739845826</v>
      </c>
      <c r="C73" s="2">
        <v>0.29699342601541723</v>
      </c>
      <c r="D73" s="2">
        <v>1.5238870457100302</v>
      </c>
      <c r="F73" s="2">
        <v>6.25</v>
      </c>
      <c r="G73" s="2">
        <v>2.2000000000000002</v>
      </c>
    </row>
    <row r="74" spans="1:9" x14ac:dyDescent="0.15">
      <c r="A74" s="2">
        <v>2</v>
      </c>
      <c r="B74" s="2">
        <v>3.762143635970951</v>
      </c>
      <c r="C74" s="2">
        <v>-0.16214363597095094</v>
      </c>
      <c r="D74" s="2">
        <v>-0.83196651762799756</v>
      </c>
      <c r="F74" s="2">
        <v>18.75</v>
      </c>
      <c r="G74" s="2">
        <v>2.2999999999999998</v>
      </c>
    </row>
    <row r="75" spans="1:9" x14ac:dyDescent="0.15">
      <c r="A75" s="2">
        <v>3</v>
      </c>
      <c r="B75" s="2">
        <v>3.2741496940354837</v>
      </c>
      <c r="C75" s="2">
        <v>-0.17414969403548364</v>
      </c>
      <c r="D75" s="2">
        <v>-0.89357015848984633</v>
      </c>
      <c r="F75" s="2">
        <v>31.25</v>
      </c>
      <c r="G75" s="2">
        <v>2.4</v>
      </c>
    </row>
    <row r="76" spans="1:9" x14ac:dyDescent="0.15">
      <c r="A76" s="2">
        <v>4</v>
      </c>
      <c r="B76" s="2">
        <v>2.9096622113427562</v>
      </c>
      <c r="C76" s="2">
        <v>-0.20966221134275598</v>
      </c>
      <c r="D76" s="2">
        <v>-1.0757865321354243</v>
      </c>
      <c r="F76" s="2">
        <v>43.75</v>
      </c>
      <c r="G76" s="2">
        <v>2.5</v>
      </c>
    </row>
    <row r="77" spans="1:9" x14ac:dyDescent="0.15">
      <c r="A77" s="2">
        <v>5</v>
      </c>
      <c r="B77" s="2">
        <v>2.6186245771745975</v>
      </c>
      <c r="C77" s="2">
        <v>-0.11862457717459751</v>
      </c>
      <c r="D77" s="2">
        <v>-0.6086682081973589</v>
      </c>
      <c r="F77" s="2">
        <v>56.25</v>
      </c>
      <c r="G77" s="2">
        <v>2.7</v>
      </c>
    </row>
    <row r="78" spans="1:9" x14ac:dyDescent="0.15">
      <c r="A78" s="2">
        <v>6</v>
      </c>
      <c r="B78" s="2">
        <v>2.3763419386133267</v>
      </c>
      <c r="C78" s="2">
        <v>2.3658061386673257E-2</v>
      </c>
      <c r="D78" s="2">
        <v>0.1213906104167186</v>
      </c>
      <c r="F78" s="2">
        <v>68.75</v>
      </c>
      <c r="G78" s="2">
        <v>3.1</v>
      </c>
    </row>
    <row r="79" spans="1:9" x14ac:dyDescent="0.15">
      <c r="A79" s="2">
        <v>7</v>
      </c>
      <c r="B79" s="2">
        <v>2.1687992733291246</v>
      </c>
      <c r="C79" s="2">
        <v>0.13120072667087523</v>
      </c>
      <c r="D79" s="2">
        <v>0.67319701464068904</v>
      </c>
      <c r="F79" s="2">
        <v>81.25</v>
      </c>
      <c r="G79" s="2">
        <v>3.6</v>
      </c>
    </row>
    <row r="80" spans="1:9" ht="14.25" thickBot="1" x14ac:dyDescent="0.2">
      <c r="A80" s="3">
        <v>8</v>
      </c>
      <c r="B80" s="3">
        <v>1.9872720955491703</v>
      </c>
      <c r="C80" s="3">
        <v>0.2127279044508299</v>
      </c>
      <c r="D80" s="3">
        <v>1.091516745683228</v>
      </c>
      <c r="F80" s="3">
        <v>93.75</v>
      </c>
      <c r="G80" s="3">
        <v>4.8</v>
      </c>
    </row>
    <row r="83" spans="1:6" x14ac:dyDescent="0.15">
      <c r="A83" t="s">
        <v>118</v>
      </c>
    </row>
    <row r="84" spans="1:6" x14ac:dyDescent="0.15">
      <c r="A84" t="s">
        <v>4</v>
      </c>
    </row>
    <row r="85" spans="1:6" ht="14.25" thickBot="1" x14ac:dyDescent="0.2"/>
    <row r="86" spans="1:6" x14ac:dyDescent="0.15">
      <c r="A86" s="5" t="s">
        <v>5</v>
      </c>
      <c r="B86" s="5"/>
    </row>
    <row r="87" spans="1:6" x14ac:dyDescent="0.15">
      <c r="A87" s="2" t="s">
        <v>6</v>
      </c>
      <c r="B87" s="2">
        <v>0.99285817481358563</v>
      </c>
    </row>
    <row r="88" spans="1:6" x14ac:dyDescent="0.15">
      <c r="A88" s="2" t="s">
        <v>7</v>
      </c>
      <c r="B88" s="2">
        <v>0.98576735529416448</v>
      </c>
    </row>
    <row r="89" spans="1:6" x14ac:dyDescent="0.15">
      <c r="A89" s="2" t="s">
        <v>8</v>
      </c>
      <c r="B89" s="2">
        <v>0.98339524784319188</v>
      </c>
    </row>
    <row r="90" spans="1:6" x14ac:dyDescent="0.15">
      <c r="A90" s="2" t="s">
        <v>9</v>
      </c>
      <c r="B90" s="2">
        <v>3.4300815439152914E-2</v>
      </c>
    </row>
    <row r="91" spans="1:6" ht="14.25" thickBot="1" x14ac:dyDescent="0.2">
      <c r="A91" s="3" t="s">
        <v>10</v>
      </c>
      <c r="B91" s="3">
        <v>8</v>
      </c>
    </row>
    <row r="93" spans="1:6" ht="14.25" thickBot="1" x14ac:dyDescent="0.2">
      <c r="A93" t="s">
        <v>11</v>
      </c>
    </row>
    <row r="94" spans="1:6" x14ac:dyDescent="0.15">
      <c r="A94" s="4"/>
      <c r="B94" s="4" t="s">
        <v>16</v>
      </c>
      <c r="C94" s="4" t="s">
        <v>17</v>
      </c>
      <c r="D94" s="4" t="s">
        <v>18</v>
      </c>
      <c r="E94" s="4" t="s">
        <v>19</v>
      </c>
      <c r="F94" s="4" t="s">
        <v>20</v>
      </c>
    </row>
    <row r="95" spans="1:6" x14ac:dyDescent="0.15">
      <c r="A95" s="2" t="s">
        <v>12</v>
      </c>
      <c r="B95" s="2">
        <v>1</v>
      </c>
      <c r="C95" s="2">
        <v>0.48893256457424189</v>
      </c>
      <c r="D95" s="2">
        <v>0.48893256457424189</v>
      </c>
      <c r="E95" s="2">
        <v>415.5660633711978</v>
      </c>
      <c r="F95" s="2">
        <v>9.0581290158982078E-7</v>
      </c>
    </row>
    <row r="96" spans="1:6" x14ac:dyDescent="0.15">
      <c r="A96" s="2" t="s">
        <v>13</v>
      </c>
      <c r="B96" s="2">
        <v>6</v>
      </c>
      <c r="C96" s="2">
        <v>7.0592756387449851E-3</v>
      </c>
      <c r="D96" s="2">
        <v>1.1765459397908309E-3</v>
      </c>
      <c r="E96" s="2"/>
      <c r="F96" s="2"/>
    </row>
    <row r="97" spans="1:9" ht="14.25" thickBot="1" x14ac:dyDescent="0.2">
      <c r="A97" s="3" t="s">
        <v>14</v>
      </c>
      <c r="B97" s="3">
        <v>7</v>
      </c>
      <c r="C97" s="3">
        <v>0.49599184021298687</v>
      </c>
      <c r="D97" s="3"/>
      <c r="E97" s="3"/>
      <c r="F97" s="3"/>
    </row>
    <row r="98" spans="1:9" ht="14.25" thickBot="1" x14ac:dyDescent="0.2"/>
    <row r="99" spans="1:9" x14ac:dyDescent="0.15">
      <c r="A99" s="4"/>
      <c r="B99" s="4" t="s">
        <v>21</v>
      </c>
      <c r="C99" s="4" t="s">
        <v>9</v>
      </c>
      <c r="D99" s="4" t="s">
        <v>22</v>
      </c>
      <c r="E99" s="4" t="s">
        <v>23</v>
      </c>
      <c r="F99" s="4" t="s">
        <v>24</v>
      </c>
      <c r="G99" s="4" t="s">
        <v>25</v>
      </c>
      <c r="H99" s="4" t="s">
        <v>26</v>
      </c>
      <c r="I99" s="4" t="s">
        <v>27</v>
      </c>
    </row>
    <row r="100" spans="1:9" x14ac:dyDescent="0.15">
      <c r="A100" s="2" t="s">
        <v>15</v>
      </c>
      <c r="B100" s="2">
        <v>2.1986043059621307</v>
      </c>
      <c r="C100" s="2">
        <v>5.7710619320420362E-2</v>
      </c>
      <c r="D100" s="2">
        <v>38.097049240713574</v>
      </c>
      <c r="E100" s="2">
        <v>2.1839986966700513E-8</v>
      </c>
      <c r="F100" s="2">
        <v>2.0573915076100784</v>
      </c>
      <c r="G100" s="2">
        <v>2.3398171043141831</v>
      </c>
      <c r="H100" s="2">
        <v>2.0573915076100784</v>
      </c>
      <c r="I100" s="2">
        <v>2.3398171043141831</v>
      </c>
    </row>
    <row r="101" spans="1:9" ht="14.25" thickBot="1" x14ac:dyDescent="0.2">
      <c r="A101" s="3">
        <v>0.40546510810816438</v>
      </c>
      <c r="B101" s="3">
        <v>-0.44669637399567025</v>
      </c>
      <c r="C101" s="3">
        <v>2.1912523255603569E-2</v>
      </c>
      <c r="D101" s="3">
        <v>-20.385437532003031</v>
      </c>
      <c r="E101" s="3">
        <v>9.0581290158982078E-7</v>
      </c>
      <c r="F101" s="3">
        <v>-0.50031438683829643</v>
      </c>
      <c r="G101" s="3">
        <v>-0.39307836115304412</v>
      </c>
      <c r="H101" s="3">
        <v>-0.50031438683829643</v>
      </c>
      <c r="I101" s="3">
        <v>-0.39307836115304412</v>
      </c>
    </row>
    <row r="105" spans="1:9" x14ac:dyDescent="0.15">
      <c r="A105" t="s">
        <v>102</v>
      </c>
      <c r="F105" t="s">
        <v>105</v>
      </c>
    </row>
    <row r="106" spans="1:9" ht="14.25" thickBot="1" x14ac:dyDescent="0.2"/>
    <row r="107" spans="1:9" x14ac:dyDescent="0.15">
      <c r="A107" s="4" t="s">
        <v>10</v>
      </c>
      <c r="B107" s="4" t="s">
        <v>113</v>
      </c>
      <c r="C107" s="4" t="s">
        <v>13</v>
      </c>
      <c r="D107" s="4" t="s">
        <v>104</v>
      </c>
      <c r="F107" s="4" t="s">
        <v>106</v>
      </c>
      <c r="G107" s="4">
        <v>1.9459101490553132</v>
      </c>
    </row>
    <row r="108" spans="1:9" x14ac:dyDescent="0.15">
      <c r="A108" s="2">
        <v>1</v>
      </c>
      <c r="B108" s="2">
        <v>1.5267383866133222</v>
      </c>
      <c r="C108" s="2">
        <v>4.1877531300523074E-2</v>
      </c>
      <c r="D108" s="2">
        <v>1.318712193735782</v>
      </c>
      <c r="F108" s="2">
        <v>6.25</v>
      </c>
      <c r="G108" s="2">
        <v>0.78845736036427028</v>
      </c>
    </row>
    <row r="109" spans="1:9" x14ac:dyDescent="0.15">
      <c r="A109" s="2">
        <v>2</v>
      </c>
      <c r="B109" s="2">
        <v>1.2985544327329777</v>
      </c>
      <c r="C109" s="2">
        <v>-1.7620587270913424E-2</v>
      </c>
      <c r="D109" s="2">
        <v>-0.55486755243972086</v>
      </c>
      <c r="F109" s="2">
        <v>18.75</v>
      </c>
      <c r="G109" s="2">
        <v>0.83290912293510388</v>
      </c>
    </row>
    <row r="110" spans="1:9" x14ac:dyDescent="0.15">
      <c r="A110" s="2">
        <v>3</v>
      </c>
      <c r="B110" s="2">
        <v>1.1482535046840687</v>
      </c>
      <c r="C110" s="2">
        <v>-1.6851393192968134E-2</v>
      </c>
      <c r="D110" s="2">
        <v>-0.53064583787262709</v>
      </c>
      <c r="F110" s="2">
        <v>31.25</v>
      </c>
      <c r="G110" s="2">
        <v>0.87546873735389985</v>
      </c>
    </row>
    <row r="111" spans="1:9" x14ac:dyDescent="0.15">
      <c r="A111" s="2">
        <v>4</v>
      </c>
      <c r="B111" s="2">
        <v>1.0359922608381928</v>
      </c>
      <c r="C111" s="2">
        <v>-4.2740487827909401E-2</v>
      </c>
      <c r="D111" s="2">
        <v>-1.3458864626095068</v>
      </c>
      <c r="F111" s="2">
        <v>43.75</v>
      </c>
      <c r="G111" s="2">
        <v>0.91629073187415511</v>
      </c>
    </row>
    <row r="112" spans="1:9" x14ac:dyDescent="0.15">
      <c r="A112" s="2">
        <v>5</v>
      </c>
      <c r="B112" s="2">
        <v>0.94635338880806064</v>
      </c>
      <c r="C112" s="2">
        <v>-3.0062656933905529E-2</v>
      </c>
      <c r="D112" s="2">
        <v>-0.9466649786574598</v>
      </c>
      <c r="F112" s="2">
        <v>56.25</v>
      </c>
      <c r="G112" s="2">
        <v>0.99325177301028345</v>
      </c>
    </row>
    <row r="113" spans="1:7" x14ac:dyDescent="0.15">
      <c r="A113" s="2">
        <v>6</v>
      </c>
      <c r="B113" s="2">
        <v>0.87173093492785858</v>
      </c>
      <c r="C113" s="2">
        <v>3.7378024260412701E-3</v>
      </c>
      <c r="D113" s="2">
        <v>0.1177023927610137</v>
      </c>
      <c r="F113" s="2">
        <v>68.75</v>
      </c>
      <c r="G113" s="2">
        <v>1.1314021114911006</v>
      </c>
    </row>
    <row r="114" spans="1:7" x14ac:dyDescent="0.15">
      <c r="A114" s="2">
        <v>7</v>
      </c>
      <c r="B114" s="2">
        <v>0.80780830695784855</v>
      </c>
      <c r="C114" s="2">
        <v>2.5100815977255331E-2</v>
      </c>
      <c r="D114" s="2">
        <v>0.79041794188835335</v>
      </c>
      <c r="F114" s="2">
        <v>81.25</v>
      </c>
      <c r="G114" s="2">
        <v>1.2809338454620642</v>
      </c>
    </row>
    <row r="115" spans="1:7" ht="14.25" thickBot="1" x14ac:dyDescent="0.2">
      <c r="A115" s="3">
        <v>8</v>
      </c>
      <c r="B115" s="3">
        <v>0.75189838484239235</v>
      </c>
      <c r="C115" s="3">
        <v>3.6558975521877923E-2</v>
      </c>
      <c r="D115" s="3">
        <v>1.1512323031942002</v>
      </c>
      <c r="F115" s="3">
        <v>93.75</v>
      </c>
      <c r="G115" s="3">
        <v>1.5686159179138452</v>
      </c>
    </row>
    <row r="118" spans="1:7" x14ac:dyDescent="0.15">
      <c r="A118" t="s">
        <v>119</v>
      </c>
    </row>
    <row r="119" spans="1:7" x14ac:dyDescent="0.15">
      <c r="A119" t="s">
        <v>4</v>
      </c>
    </row>
    <row r="120" spans="1:7" ht="14.25" thickBot="1" x14ac:dyDescent="0.2"/>
    <row r="121" spans="1:7" x14ac:dyDescent="0.15">
      <c r="A121" s="5" t="s">
        <v>5</v>
      </c>
      <c r="B121" s="5"/>
    </row>
    <row r="122" spans="1:7" x14ac:dyDescent="0.15">
      <c r="A122" s="2" t="s">
        <v>6</v>
      </c>
      <c r="B122" s="2">
        <v>0.99766050291493402</v>
      </c>
    </row>
    <row r="123" spans="1:7" x14ac:dyDescent="0.15">
      <c r="A123" s="2" t="s">
        <v>7</v>
      </c>
      <c r="B123" s="2">
        <v>0.99532647907647898</v>
      </c>
    </row>
    <row r="124" spans="1:7" x14ac:dyDescent="0.15">
      <c r="A124" s="2" t="s">
        <v>8</v>
      </c>
      <c r="B124" s="2">
        <v>0.99252236652236636</v>
      </c>
    </row>
    <row r="125" spans="1:7" x14ac:dyDescent="0.15">
      <c r="A125" s="2" t="s">
        <v>9</v>
      </c>
      <c r="B125" s="2">
        <v>0.1367263094436621</v>
      </c>
    </row>
    <row r="126" spans="1:7" ht="14.25" thickBot="1" x14ac:dyDescent="0.2">
      <c r="A126" s="3" t="s">
        <v>10</v>
      </c>
      <c r="B126" s="3">
        <v>9</v>
      </c>
    </row>
    <row r="128" spans="1:7" ht="14.25" thickBot="1" x14ac:dyDescent="0.2">
      <c r="A128" t="s">
        <v>11</v>
      </c>
    </row>
    <row r="129" spans="1:9" x14ac:dyDescent="0.15">
      <c r="A129" s="4"/>
      <c r="B129" s="4" t="s">
        <v>16</v>
      </c>
      <c r="C129" s="4" t="s">
        <v>17</v>
      </c>
      <c r="D129" s="4" t="s">
        <v>18</v>
      </c>
      <c r="E129" s="4" t="s">
        <v>19</v>
      </c>
      <c r="F129" s="4" t="s">
        <v>20</v>
      </c>
    </row>
    <row r="130" spans="1:9" x14ac:dyDescent="0.15">
      <c r="A130" s="2" t="s">
        <v>12</v>
      </c>
      <c r="B130" s="2">
        <v>3</v>
      </c>
      <c r="C130" s="2">
        <v>19.906529581529579</v>
      </c>
      <c r="D130" s="2">
        <v>6.6355098605098597</v>
      </c>
      <c r="E130" s="2">
        <v>354.95239933101095</v>
      </c>
      <c r="F130" s="2">
        <v>3.0367876582508278E-6</v>
      </c>
    </row>
    <row r="131" spans="1:9" x14ac:dyDescent="0.15">
      <c r="A131" s="2" t="s">
        <v>13</v>
      </c>
      <c r="B131" s="2">
        <v>5</v>
      </c>
      <c r="C131" s="2">
        <v>9.3470418470420216E-2</v>
      </c>
      <c r="D131" s="2">
        <v>1.8694083694084044E-2</v>
      </c>
      <c r="E131" s="2"/>
      <c r="F131" s="2"/>
    </row>
    <row r="132" spans="1:9" ht="14.25" thickBot="1" x14ac:dyDescent="0.2">
      <c r="A132" s="3" t="s">
        <v>14</v>
      </c>
      <c r="B132" s="3">
        <v>8</v>
      </c>
      <c r="C132" s="3">
        <v>20</v>
      </c>
      <c r="D132" s="3"/>
      <c r="E132" s="3"/>
      <c r="F132" s="3"/>
    </row>
    <row r="133" spans="1:9" ht="14.25" thickBot="1" x14ac:dyDescent="0.2"/>
    <row r="134" spans="1:9" x14ac:dyDescent="0.15">
      <c r="A134" s="4"/>
      <c r="B134" s="4" t="s">
        <v>21</v>
      </c>
      <c r="C134" s="4" t="s">
        <v>9</v>
      </c>
      <c r="D134" s="4" t="s">
        <v>22</v>
      </c>
      <c r="E134" s="4" t="s">
        <v>23</v>
      </c>
      <c r="F134" s="4" t="s">
        <v>24</v>
      </c>
      <c r="G134" s="4" t="s">
        <v>25</v>
      </c>
      <c r="H134" s="4" t="s">
        <v>26</v>
      </c>
      <c r="I134" s="4" t="s">
        <v>27</v>
      </c>
    </row>
    <row r="135" spans="1:9" x14ac:dyDescent="0.15">
      <c r="A135" s="2" t="s">
        <v>15</v>
      </c>
      <c r="B135" s="2">
        <v>8.164650974025971</v>
      </c>
      <c r="C135" s="2">
        <v>0.19632963442186005</v>
      </c>
      <c r="D135" s="2">
        <v>41.586442098100747</v>
      </c>
      <c r="E135" s="2">
        <v>1.5165551965153152E-7</v>
      </c>
      <c r="F135" s="2">
        <v>7.6599695819840194</v>
      </c>
      <c r="G135" s="2">
        <v>8.6693323660679233</v>
      </c>
      <c r="H135" s="2">
        <v>7.6599695819840194</v>
      </c>
      <c r="I135" s="2">
        <v>8.6693323660679233</v>
      </c>
    </row>
    <row r="136" spans="1:9" x14ac:dyDescent="0.15">
      <c r="A136" s="2" t="s">
        <v>28</v>
      </c>
      <c r="B136" s="2">
        <v>-0.91664963123296406</v>
      </c>
      <c r="C136" s="2">
        <v>6.3812470240649483E-2</v>
      </c>
      <c r="D136" s="2">
        <v>-14.364741370708522</v>
      </c>
      <c r="E136" s="2">
        <v>2.9479826384294447E-5</v>
      </c>
      <c r="F136" s="2">
        <v>-1.0806848081206606</v>
      </c>
      <c r="G136" s="2">
        <v>-0.75261445434526753</v>
      </c>
      <c r="H136" s="2">
        <v>-1.0806848081206606</v>
      </c>
      <c r="I136" s="2">
        <v>-0.75261445434526753</v>
      </c>
    </row>
    <row r="137" spans="1:9" x14ac:dyDescent="0.15">
      <c r="A137" s="2" t="s">
        <v>29</v>
      </c>
      <c r="B137" s="2">
        <v>4.9476911976911946E-2</v>
      </c>
      <c r="C137" s="2">
        <v>5.5003520998430644E-3</v>
      </c>
      <c r="D137" s="2">
        <v>8.9952263198429812</v>
      </c>
      <c r="E137" s="2">
        <v>2.8339329190530402E-4</v>
      </c>
      <c r="F137" s="2">
        <v>3.5337806779451301E-2</v>
      </c>
      <c r="G137" s="2">
        <v>6.3616017174372597E-2</v>
      </c>
      <c r="H137" s="2">
        <v>3.5337806779451301E-2</v>
      </c>
      <c r="I137" s="2">
        <v>6.3616017174372597E-2</v>
      </c>
    </row>
    <row r="138" spans="1:9" ht="14.25" thickBot="1" x14ac:dyDescent="0.2">
      <c r="A138" s="3" t="s">
        <v>120</v>
      </c>
      <c r="B138" s="3">
        <v>-8.9474996882404206E-4</v>
      </c>
      <c r="C138" s="3">
        <v>1.3411874590550215E-4</v>
      </c>
      <c r="D138" s="3">
        <v>-6.6713266872810459</v>
      </c>
      <c r="E138" s="3">
        <v>1.142855570739661E-3</v>
      </c>
      <c r="F138" s="3">
        <v>-1.2395131808670484E-3</v>
      </c>
      <c r="G138" s="3">
        <v>-5.4998675678103576E-4</v>
      </c>
      <c r="H138" s="3">
        <v>-1.2395131808670484E-3</v>
      </c>
      <c r="I138" s="3">
        <v>-5.4998675678103576E-4</v>
      </c>
    </row>
    <row r="142" spans="1:9" x14ac:dyDescent="0.15">
      <c r="A142" t="s">
        <v>102</v>
      </c>
      <c r="F142" t="s">
        <v>105</v>
      </c>
    </row>
    <row r="143" spans="1:9" ht="14.25" thickBot="1" x14ac:dyDescent="0.2"/>
    <row r="144" spans="1:9" x14ac:dyDescent="0.15">
      <c r="A144" s="4" t="s">
        <v>10</v>
      </c>
      <c r="B144" s="4" t="s">
        <v>103</v>
      </c>
      <c r="C144" s="4" t="s">
        <v>13</v>
      </c>
      <c r="D144" s="4" t="s">
        <v>104</v>
      </c>
      <c r="F144" s="4" t="s">
        <v>106</v>
      </c>
      <c r="G144" s="4" t="s">
        <v>107</v>
      </c>
    </row>
    <row r="145" spans="1:7" x14ac:dyDescent="0.15">
      <c r="A145" s="2">
        <v>1</v>
      </c>
      <c r="B145" s="2">
        <v>6.8979797979797954</v>
      </c>
      <c r="C145" s="2">
        <v>0.10202020202020456</v>
      </c>
      <c r="D145" s="2">
        <v>0.94383065570067071</v>
      </c>
      <c r="F145" s="2">
        <v>5.5555555555555554</v>
      </c>
      <c r="G145" s="2">
        <v>2.2000000000000002</v>
      </c>
    </row>
    <row r="146" spans="1:7" x14ac:dyDescent="0.15">
      <c r="A146" s="2">
        <v>2</v>
      </c>
      <c r="B146" s="2">
        <v>4.9601010101010097</v>
      </c>
      <c r="C146" s="2">
        <v>-0.16010101010100986</v>
      </c>
      <c r="D146" s="2">
        <v>-1.4811599893916074</v>
      </c>
      <c r="F146" s="2">
        <v>16.666666666666664</v>
      </c>
      <c r="G146" s="2">
        <v>2.2999999999999998</v>
      </c>
    </row>
    <row r="147" spans="1:7" x14ac:dyDescent="0.15">
      <c r="A147" s="2">
        <v>3</v>
      </c>
      <c r="B147" s="2">
        <v>3.6953823953823948</v>
      </c>
      <c r="C147" s="2">
        <v>-9.538239538239468E-2</v>
      </c>
      <c r="D147" s="2">
        <v>-0.88242158899310208</v>
      </c>
      <c r="F147" s="2">
        <v>27.777777777777779</v>
      </c>
      <c r="G147" s="2">
        <v>2.4</v>
      </c>
    </row>
    <row r="148" spans="1:7" x14ac:dyDescent="0.15">
      <c r="A148" s="2">
        <v>4</v>
      </c>
      <c r="B148" s="2">
        <v>2.9588744588744591</v>
      </c>
      <c r="C148" s="2">
        <v>0.14112554112554099</v>
      </c>
      <c r="D148" s="2">
        <v>1.30561015739071</v>
      </c>
      <c r="F148" s="2">
        <v>38.888888888888886</v>
      </c>
      <c r="G148" s="2">
        <v>2.5</v>
      </c>
    </row>
    <row r="149" spans="1:7" x14ac:dyDescent="0.15">
      <c r="A149" s="2">
        <v>5</v>
      </c>
      <c r="B149" s="2">
        <v>2.6056277056277057</v>
      </c>
      <c r="C149" s="2">
        <v>9.4372294372294441E-2</v>
      </c>
      <c r="D149" s="2">
        <v>0.87307673101587513</v>
      </c>
      <c r="F149" s="2">
        <v>50</v>
      </c>
      <c r="G149" s="2">
        <v>2.7</v>
      </c>
    </row>
    <row r="150" spans="1:7" x14ac:dyDescent="0.15">
      <c r="A150" s="2">
        <v>6</v>
      </c>
      <c r="B150" s="2">
        <v>2.4906926406926413</v>
      </c>
      <c r="C150" s="2">
        <v>9.3073593073587091E-3</v>
      </c>
      <c r="D150" s="2">
        <v>8.6106191361651804E-2</v>
      </c>
      <c r="F150" s="2">
        <v>61.111111111111114</v>
      </c>
      <c r="G150" s="2">
        <v>3.1</v>
      </c>
    </row>
    <row r="151" spans="1:7" x14ac:dyDescent="0.15">
      <c r="A151" s="2">
        <v>7</v>
      </c>
      <c r="B151" s="2">
        <v>2.4691197691197697</v>
      </c>
      <c r="C151" s="2">
        <v>-6.9119769119769803E-2</v>
      </c>
      <c r="D151" s="2">
        <v>-0.63945528158502751</v>
      </c>
      <c r="F151" s="2">
        <v>72.222222222222214</v>
      </c>
      <c r="G151" s="2">
        <v>3.6</v>
      </c>
    </row>
    <row r="152" spans="1:7" x14ac:dyDescent="0.15">
      <c r="A152" s="2">
        <v>8</v>
      </c>
      <c r="B152" s="2">
        <v>2.3959595959595976</v>
      </c>
      <c r="C152" s="2">
        <v>-9.5959595959597799E-2</v>
      </c>
      <c r="D152" s="2">
        <v>-0.88776150783725938</v>
      </c>
      <c r="F152" s="2">
        <v>83.333333333333329</v>
      </c>
      <c r="G152" s="2">
        <v>4.8</v>
      </c>
    </row>
    <row r="153" spans="1:7" ht="14.25" thickBot="1" x14ac:dyDescent="0.2">
      <c r="A153" s="3">
        <v>9</v>
      </c>
      <c r="B153" s="3">
        <v>2.1262626262626316</v>
      </c>
      <c r="C153" s="3">
        <v>7.373737373736855E-2</v>
      </c>
      <c r="D153" s="3">
        <v>0.68217463233804354</v>
      </c>
      <c r="F153" s="3">
        <v>94.444444444444443</v>
      </c>
      <c r="G153" s="3">
        <v>7</v>
      </c>
    </row>
  </sheetData>
  <sortState ref="G145:G153">
    <sortCondition ref="G145"/>
  </sortState>
  <mergeCells count="1">
    <mergeCell ref="A1:C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"/>
  <sheetViews>
    <sheetView topLeftCell="B1" workbookViewId="0">
      <selection activeCell="H11" sqref="H11"/>
    </sheetView>
  </sheetViews>
  <sheetFormatPr defaultRowHeight="13.5" x14ac:dyDescent="0.15"/>
  <cols>
    <col min="2" max="2" width="11.75" customWidth="1"/>
  </cols>
  <sheetData>
    <row r="1" spans="1:6" ht="18" x14ac:dyDescent="0.15">
      <c r="A1" s="6" t="s">
        <v>38</v>
      </c>
      <c r="B1" s="7" t="s">
        <v>39</v>
      </c>
    </row>
    <row r="2" spans="1:6" ht="17.25" x14ac:dyDescent="0.15">
      <c r="A2" s="8" t="s">
        <v>40</v>
      </c>
      <c r="B2" s="9">
        <v>132201</v>
      </c>
      <c r="C2" t="e">
        <v>#N/A</v>
      </c>
      <c r="D2" t="e">
        <v>#N/A</v>
      </c>
      <c r="E2" t="e">
        <v>#N/A</v>
      </c>
      <c r="F2" t="e">
        <v>#N/A</v>
      </c>
    </row>
    <row r="3" spans="1:6" ht="17.25" x14ac:dyDescent="0.15">
      <c r="A3" s="8" t="s">
        <v>41</v>
      </c>
      <c r="B3" s="9">
        <v>163342</v>
      </c>
      <c r="C3" s="12">
        <f t="shared" ref="C3:C43" si="0">AVERAGE(B2:B3)</f>
        <v>147771.5</v>
      </c>
      <c r="D3" t="e">
        <v>#N/A</v>
      </c>
      <c r="E3" t="e">
        <v>#N/A</v>
      </c>
      <c r="F3" t="e">
        <v>#N/A</v>
      </c>
    </row>
    <row r="4" spans="1:6" ht="17.25" x14ac:dyDescent="0.15">
      <c r="A4" s="8" t="s">
        <v>42</v>
      </c>
      <c r="B4" s="9">
        <v>313773</v>
      </c>
      <c r="C4" s="12">
        <f t="shared" si="0"/>
        <v>238557.5</v>
      </c>
      <c r="D4">
        <f t="shared" ref="D4:D43" si="1">SQRT(SUMXMY2(B3:B4,C3:C4)/2)</f>
        <v>54313.036697003052</v>
      </c>
      <c r="E4" s="12">
        <f t="shared" ref="E4:E43" si="2">AVERAGE(B2:B4)</f>
        <v>203105.33333333334</v>
      </c>
      <c r="F4" t="e">
        <v>#N/A</v>
      </c>
    </row>
    <row r="5" spans="1:6" ht="17.25" x14ac:dyDescent="0.15">
      <c r="A5" s="8" t="s">
        <v>43</v>
      </c>
      <c r="B5" s="9">
        <v>246013</v>
      </c>
      <c r="C5" s="12">
        <f t="shared" si="0"/>
        <v>279893</v>
      </c>
      <c r="D5">
        <f t="shared" si="1"/>
        <v>58331.920250622643</v>
      </c>
      <c r="E5" s="12">
        <f t="shared" si="2"/>
        <v>241042.66666666666</v>
      </c>
      <c r="F5" t="e">
        <v>#N/A</v>
      </c>
    </row>
    <row r="6" spans="1:6" ht="17.25" x14ac:dyDescent="0.15">
      <c r="A6" s="8" t="s">
        <v>44</v>
      </c>
      <c r="B6" s="9">
        <v>244485</v>
      </c>
      <c r="C6" s="12">
        <f t="shared" si="0"/>
        <v>245249</v>
      </c>
      <c r="D6">
        <f t="shared" si="1"/>
        <v>23962.868108805338</v>
      </c>
      <c r="E6" s="12">
        <f t="shared" si="2"/>
        <v>268090.33333333331</v>
      </c>
      <c r="F6">
        <f t="shared" ref="F6:F43" si="3">SQRT(SUMXMY2(B4:B6,E4:E6)/3)</f>
        <v>65394.312751356454</v>
      </c>
    </row>
    <row r="7" spans="1:6" ht="17.25" x14ac:dyDescent="0.15">
      <c r="A7" s="8" t="s">
        <v>45</v>
      </c>
      <c r="B7" s="9">
        <v>218109.39999999979</v>
      </c>
      <c r="C7" s="12">
        <f t="shared" si="0"/>
        <v>231297.1999999999</v>
      </c>
      <c r="D7">
        <f t="shared" si="1"/>
        <v>9340.8180808750039</v>
      </c>
      <c r="E7" s="12">
        <f t="shared" si="2"/>
        <v>236202.46666666659</v>
      </c>
      <c r="F7">
        <f t="shared" si="3"/>
        <v>17409.528393255139</v>
      </c>
    </row>
    <row r="8" spans="1:6" ht="17.25" x14ac:dyDescent="0.15">
      <c r="A8" s="8" t="s">
        <v>46</v>
      </c>
      <c r="B8" s="9">
        <v>208543.51000000007</v>
      </c>
      <c r="C8" s="12">
        <f t="shared" si="0"/>
        <v>213326.45499999993</v>
      </c>
      <c r="D8">
        <f t="shared" si="1"/>
        <v>9919.5421192973026</v>
      </c>
      <c r="E8" s="12">
        <f t="shared" si="2"/>
        <v>223712.63666666663</v>
      </c>
      <c r="F8">
        <f t="shared" si="3"/>
        <v>19275.833116552971</v>
      </c>
    </row>
    <row r="9" spans="1:6" ht="17.25" x14ac:dyDescent="0.15">
      <c r="A9" s="8" t="s">
        <v>47</v>
      </c>
      <c r="B9" s="9">
        <v>209520.7400000004</v>
      </c>
      <c r="C9" s="12">
        <f t="shared" si="0"/>
        <v>209032.12500000023</v>
      </c>
      <c r="D9">
        <f t="shared" si="1"/>
        <v>3399.6549450825769</v>
      </c>
      <c r="E9" s="12">
        <f t="shared" si="2"/>
        <v>212057.88333333342</v>
      </c>
      <c r="F9">
        <f t="shared" si="3"/>
        <v>13710.076118530487</v>
      </c>
    </row>
    <row r="10" spans="1:6" ht="17.25" x14ac:dyDescent="0.15">
      <c r="A10" s="8" t="s">
        <v>48</v>
      </c>
      <c r="B10" s="9">
        <v>101870.19</v>
      </c>
      <c r="C10" s="12">
        <f t="shared" si="0"/>
        <v>155695.4650000002</v>
      </c>
      <c r="D10">
        <f t="shared" si="1"/>
        <v>38061.785122638896</v>
      </c>
      <c r="E10" s="12">
        <f t="shared" si="2"/>
        <v>173311.48000000016</v>
      </c>
      <c r="F10">
        <f t="shared" si="3"/>
        <v>42191.616137914469</v>
      </c>
    </row>
    <row r="11" spans="1:6" ht="17.25" x14ac:dyDescent="0.15">
      <c r="A11" s="8" t="s">
        <v>49</v>
      </c>
      <c r="B11" s="9">
        <v>904350.31999999983</v>
      </c>
      <c r="C11" s="12">
        <f t="shared" si="0"/>
        <v>503110.25499999989</v>
      </c>
      <c r="D11">
        <f t="shared" si="1"/>
        <v>286261.02597981255</v>
      </c>
      <c r="E11" s="12">
        <f t="shared" si="2"/>
        <v>405247.08333333343</v>
      </c>
      <c r="F11">
        <f t="shared" si="3"/>
        <v>291098.1139663512</v>
      </c>
    </row>
    <row r="12" spans="1:6" ht="17.25" x14ac:dyDescent="0.15">
      <c r="A12" s="8" t="s">
        <v>50</v>
      </c>
      <c r="B12" s="9">
        <v>6795016.1899999976</v>
      </c>
      <c r="C12" s="12">
        <f t="shared" si="0"/>
        <v>3849683.254999999</v>
      </c>
      <c r="D12">
        <f t="shared" si="1"/>
        <v>2101901.482914567</v>
      </c>
      <c r="E12" s="12">
        <f t="shared" si="2"/>
        <v>2600412.2333333325</v>
      </c>
      <c r="F12">
        <f t="shared" si="3"/>
        <v>2439187.7235432048</v>
      </c>
    </row>
    <row r="13" spans="1:6" ht="17.25" x14ac:dyDescent="0.15">
      <c r="A13" s="8" t="s">
        <v>51</v>
      </c>
      <c r="B13" s="9">
        <v>740410.84999999963</v>
      </c>
      <c r="C13" s="12">
        <f t="shared" si="0"/>
        <v>3767713.5199999986</v>
      </c>
      <c r="D13">
        <f t="shared" si="1"/>
        <v>2986599.0318240603</v>
      </c>
      <c r="E13" s="12">
        <f t="shared" si="2"/>
        <v>2813259.1199999992</v>
      </c>
      <c r="F13">
        <f t="shared" si="3"/>
        <v>2716646.6059326874</v>
      </c>
    </row>
    <row r="14" spans="1:6" ht="17.25" x14ac:dyDescent="0.15">
      <c r="A14" s="8" t="s">
        <v>52</v>
      </c>
      <c r="B14" s="9">
        <v>657663.82000000018</v>
      </c>
      <c r="C14" s="12">
        <f t="shared" si="0"/>
        <v>699037.33499999996</v>
      </c>
      <c r="D14">
        <f t="shared" si="1"/>
        <v>2140826.1516915122</v>
      </c>
      <c r="E14" s="12">
        <f t="shared" si="2"/>
        <v>2731030.2866666657</v>
      </c>
      <c r="F14">
        <f t="shared" si="3"/>
        <v>2954671.4881592416</v>
      </c>
    </row>
    <row r="15" spans="1:6" ht="17.25" x14ac:dyDescent="0.15">
      <c r="A15" s="8" t="s">
        <v>53</v>
      </c>
      <c r="B15" s="9">
        <v>27117.959999999985</v>
      </c>
      <c r="C15" s="12">
        <f t="shared" si="0"/>
        <v>342390.89000000007</v>
      </c>
      <c r="D15">
        <f t="shared" si="1"/>
        <v>224843.04318150491</v>
      </c>
      <c r="E15" s="12">
        <f t="shared" si="2"/>
        <v>475064.20999999996</v>
      </c>
      <c r="F15">
        <f t="shared" si="3"/>
        <v>1712328.2686086476</v>
      </c>
    </row>
    <row r="16" spans="1:6" ht="17.25" x14ac:dyDescent="0.15">
      <c r="A16" s="8" t="s">
        <v>54</v>
      </c>
      <c r="B16" s="9">
        <v>163584.4599999999</v>
      </c>
      <c r="C16" s="12">
        <f t="shared" si="0"/>
        <v>95351.209999999948</v>
      </c>
      <c r="D16">
        <f t="shared" si="1"/>
        <v>228092.95999257351</v>
      </c>
      <c r="E16" s="12">
        <f t="shared" si="2"/>
        <v>282788.74666666664</v>
      </c>
      <c r="F16">
        <f t="shared" si="3"/>
        <v>1226609.6920572824</v>
      </c>
    </row>
    <row r="17" spans="1:6" ht="17.25" x14ac:dyDescent="0.15">
      <c r="A17" s="8" t="s">
        <v>55</v>
      </c>
      <c r="B17" s="9">
        <v>78647.430000000008</v>
      </c>
      <c r="C17" s="12">
        <f t="shared" si="0"/>
        <v>121115.94499999995</v>
      </c>
      <c r="D17">
        <f t="shared" si="1"/>
        <v>56830.23478689717</v>
      </c>
      <c r="E17" s="12">
        <f t="shared" si="2"/>
        <v>89783.283333333311</v>
      </c>
      <c r="F17">
        <f t="shared" si="3"/>
        <v>267699.77716229856</v>
      </c>
    </row>
    <row r="18" spans="1:6" ht="17.25" x14ac:dyDescent="0.15">
      <c r="A18" s="8" t="s">
        <v>56</v>
      </c>
      <c r="B18" s="9">
        <v>25670.799999999999</v>
      </c>
      <c r="C18" s="12">
        <f t="shared" si="0"/>
        <v>52159.115000000005</v>
      </c>
      <c r="D18">
        <f t="shared" si="1"/>
        <v>35392.129053254517</v>
      </c>
      <c r="E18" s="12">
        <f t="shared" si="2"/>
        <v>89300.896666666624</v>
      </c>
      <c r="F18">
        <f t="shared" si="3"/>
        <v>78278.26090509785</v>
      </c>
    </row>
    <row r="19" spans="1:6" ht="17.25" x14ac:dyDescent="0.15">
      <c r="A19" s="8" t="s">
        <v>57</v>
      </c>
      <c r="B19" s="9">
        <v>4000.1</v>
      </c>
      <c r="C19" s="12">
        <f t="shared" si="0"/>
        <v>14835.449999999999</v>
      </c>
      <c r="D19">
        <f t="shared" si="1"/>
        <v>20236.546656503986</v>
      </c>
      <c r="E19" s="12">
        <f t="shared" si="2"/>
        <v>36106.110000000008</v>
      </c>
      <c r="F19">
        <f t="shared" si="3"/>
        <v>41647.698253288661</v>
      </c>
    </row>
    <row r="20" spans="1:6" ht="17.25" x14ac:dyDescent="0.15">
      <c r="A20" s="8" t="s">
        <v>58</v>
      </c>
      <c r="B20" s="9">
        <v>61993.310000000019</v>
      </c>
      <c r="C20" s="12">
        <f t="shared" si="0"/>
        <v>32996.705000000009</v>
      </c>
      <c r="D20">
        <f t="shared" si="1"/>
        <v>21888.443425110494</v>
      </c>
      <c r="E20" s="12">
        <f t="shared" si="2"/>
        <v>30554.736666666675</v>
      </c>
      <c r="F20">
        <f t="shared" si="3"/>
        <v>44973.951620780143</v>
      </c>
    </row>
    <row r="21" spans="1:6" ht="17.25" x14ac:dyDescent="0.15">
      <c r="A21" s="8" t="s">
        <v>59</v>
      </c>
      <c r="B21" s="9">
        <v>106575.69999999981</v>
      </c>
      <c r="C21" s="12">
        <f t="shared" si="0"/>
        <v>84284.504999999917</v>
      </c>
      <c r="D21">
        <f t="shared" si="1"/>
        <v>25862.139084519338</v>
      </c>
      <c r="E21" s="12">
        <f t="shared" si="2"/>
        <v>57523.036666666601</v>
      </c>
      <c r="F21">
        <f t="shared" si="3"/>
        <v>38407.219596706083</v>
      </c>
    </row>
    <row r="22" spans="1:6" ht="17.25" x14ac:dyDescent="0.15">
      <c r="A22" s="8" t="s">
        <v>60</v>
      </c>
      <c r="B22" s="9">
        <v>389398.58999999985</v>
      </c>
      <c r="C22" s="12">
        <f t="shared" si="0"/>
        <v>247987.14499999984</v>
      </c>
      <c r="D22">
        <f t="shared" si="1"/>
        <v>101227.6991527419</v>
      </c>
      <c r="E22" s="12">
        <f t="shared" si="2"/>
        <v>185989.19999999987</v>
      </c>
      <c r="F22">
        <f t="shared" si="3"/>
        <v>122160.99706739573</v>
      </c>
    </row>
    <row r="23" spans="1:6" ht="17.25" x14ac:dyDescent="0.15">
      <c r="A23" s="8" t="s">
        <v>61</v>
      </c>
      <c r="B23" s="9">
        <v>2040398.419999982</v>
      </c>
      <c r="C23" s="12">
        <f t="shared" si="0"/>
        <v>1214898.504999991</v>
      </c>
      <c r="D23">
        <f t="shared" si="1"/>
        <v>592219.26110266813</v>
      </c>
      <c r="E23" s="12">
        <f t="shared" si="2"/>
        <v>845457.5699999939</v>
      </c>
      <c r="F23">
        <f t="shared" si="3"/>
        <v>700396.35890900122</v>
      </c>
    </row>
    <row r="24" spans="1:6" ht="17.25" x14ac:dyDescent="0.15">
      <c r="A24" s="8" t="s">
        <v>62</v>
      </c>
      <c r="B24" s="9">
        <v>3582017.8399999551</v>
      </c>
      <c r="C24" s="12">
        <f t="shared" si="0"/>
        <v>2811208.1299999687</v>
      </c>
      <c r="D24">
        <f t="shared" si="1"/>
        <v>798623.10218752606</v>
      </c>
      <c r="E24" s="12">
        <f t="shared" si="2"/>
        <v>2003938.2833333125</v>
      </c>
      <c r="F24">
        <f t="shared" si="3"/>
        <v>1148853.646337376</v>
      </c>
    </row>
    <row r="25" spans="1:6" ht="17.25" x14ac:dyDescent="0.15">
      <c r="A25" s="8" t="s">
        <v>63</v>
      </c>
      <c r="B25" s="9">
        <v>5632435.1299998108</v>
      </c>
      <c r="C25" s="12">
        <f t="shared" si="0"/>
        <v>4607226.484999883</v>
      </c>
      <c r="D25">
        <f t="shared" si="1"/>
        <v>906973.09078407916</v>
      </c>
      <c r="E25" s="12">
        <f t="shared" si="2"/>
        <v>3751617.1299999156</v>
      </c>
      <c r="F25">
        <f t="shared" si="3"/>
        <v>1576461.7630727666</v>
      </c>
    </row>
    <row r="26" spans="1:6" ht="17.25" x14ac:dyDescent="0.15">
      <c r="A26" s="8" t="s">
        <v>64</v>
      </c>
      <c r="B26" s="9">
        <v>2115364.900000094</v>
      </c>
      <c r="C26" s="12">
        <f t="shared" si="0"/>
        <v>3873900.0149999522</v>
      </c>
      <c r="D26">
        <f t="shared" si="1"/>
        <v>1439357.2378791431</v>
      </c>
      <c r="E26" s="12">
        <f t="shared" si="2"/>
        <v>3776605.95666662</v>
      </c>
      <c r="F26">
        <f t="shared" si="3"/>
        <v>1711484.0815938381</v>
      </c>
    </row>
    <row r="27" spans="1:6" ht="17.25" x14ac:dyDescent="0.15">
      <c r="A27" s="8" t="s">
        <v>65</v>
      </c>
      <c r="B27" s="9">
        <v>1606571.7899999921</v>
      </c>
      <c r="C27" s="12">
        <f t="shared" si="0"/>
        <v>1860968.345000043</v>
      </c>
      <c r="D27">
        <f t="shared" si="1"/>
        <v>1256416.2045045937</v>
      </c>
      <c r="E27" s="12">
        <f t="shared" si="2"/>
        <v>3118123.9399999655</v>
      </c>
      <c r="F27">
        <f t="shared" si="3"/>
        <v>1691349.3725078076</v>
      </c>
    </row>
    <row r="28" spans="1:6" ht="17.25" x14ac:dyDescent="0.15">
      <c r="A28" s="8" t="s">
        <v>66</v>
      </c>
      <c r="B28" s="9">
        <v>1069815.0100000221</v>
      </c>
      <c r="C28" s="12">
        <f t="shared" si="0"/>
        <v>1338193.4000000071</v>
      </c>
      <c r="D28">
        <f t="shared" si="1"/>
        <v>261480.9432969045</v>
      </c>
      <c r="E28" s="12">
        <f t="shared" si="2"/>
        <v>1597250.5666667027</v>
      </c>
      <c r="F28">
        <f t="shared" si="3"/>
        <v>1332003.5056210563</v>
      </c>
    </row>
    <row r="29" spans="1:6" ht="17.25" x14ac:dyDescent="0.15">
      <c r="A29" s="8" t="s">
        <v>67</v>
      </c>
      <c r="B29" s="9">
        <v>487723.9900000018</v>
      </c>
      <c r="C29" s="12">
        <f t="shared" si="0"/>
        <v>778769.50000001199</v>
      </c>
      <c r="D29">
        <f t="shared" si="1"/>
        <v>279941.46630157356</v>
      </c>
      <c r="E29" s="12">
        <f t="shared" si="2"/>
        <v>1054703.596666672</v>
      </c>
      <c r="F29">
        <f t="shared" si="3"/>
        <v>980551.55278066592</v>
      </c>
    </row>
    <row r="30" spans="1:6" ht="17.25" x14ac:dyDescent="0.15">
      <c r="A30" s="8" t="s">
        <v>68</v>
      </c>
      <c r="B30" s="9">
        <v>238297.18000000049</v>
      </c>
      <c r="C30" s="12">
        <f t="shared" si="0"/>
        <v>363010.58500000113</v>
      </c>
      <c r="D30">
        <f t="shared" si="1"/>
        <v>223898.32768229893</v>
      </c>
      <c r="E30" s="12">
        <f t="shared" si="2"/>
        <v>598612.06000000809</v>
      </c>
      <c r="F30">
        <f t="shared" si="3"/>
        <v>493112.88550783962</v>
      </c>
    </row>
    <row r="31" spans="1:6" ht="17.25" x14ac:dyDescent="0.15">
      <c r="A31" s="8" t="s">
        <v>69</v>
      </c>
      <c r="B31" s="9">
        <v>267307.50000000058</v>
      </c>
      <c r="C31" s="12">
        <f t="shared" si="0"/>
        <v>252802.34000000055</v>
      </c>
      <c r="D31">
        <f t="shared" si="1"/>
        <v>88780.158406368559</v>
      </c>
      <c r="E31" s="12">
        <f t="shared" si="2"/>
        <v>331109.55666666763</v>
      </c>
      <c r="F31">
        <f t="shared" si="3"/>
        <v>389599.5335213705</v>
      </c>
    </row>
    <row r="32" spans="1:6" ht="17.25" x14ac:dyDescent="0.15">
      <c r="A32" s="8" t="s">
        <v>70</v>
      </c>
      <c r="B32" s="9">
        <v>609226.9099999998</v>
      </c>
      <c r="C32" s="12">
        <f t="shared" si="0"/>
        <v>438267.20500000019</v>
      </c>
      <c r="D32">
        <f t="shared" si="1"/>
        <v>121321.10368833711</v>
      </c>
      <c r="E32" s="12">
        <f t="shared" si="2"/>
        <v>371610.53000000026</v>
      </c>
      <c r="F32">
        <f t="shared" si="3"/>
        <v>251898.82838725857</v>
      </c>
    </row>
    <row r="33" spans="1:6" ht="17.25" x14ac:dyDescent="0.15">
      <c r="A33" s="8" t="s">
        <v>71</v>
      </c>
      <c r="B33" s="9">
        <v>748240.7199999945</v>
      </c>
      <c r="C33" s="12">
        <f t="shared" si="0"/>
        <v>678733.81499999715</v>
      </c>
      <c r="D33">
        <f t="shared" si="1"/>
        <v>130496.0355266886</v>
      </c>
      <c r="E33" s="12">
        <f t="shared" si="2"/>
        <v>541591.70999999822</v>
      </c>
      <c r="F33">
        <f t="shared" si="3"/>
        <v>185504.77066028907</v>
      </c>
    </row>
    <row r="34" spans="1:6" ht="17.25" x14ac:dyDescent="0.15">
      <c r="A34" s="8" t="s">
        <v>72</v>
      </c>
      <c r="B34" s="9">
        <v>945623.87000000197</v>
      </c>
      <c r="C34" s="12">
        <f t="shared" si="0"/>
        <v>846932.2949999983</v>
      </c>
      <c r="D34">
        <f t="shared" si="1"/>
        <v>85355.834067332529</v>
      </c>
      <c r="E34" s="12">
        <f t="shared" si="2"/>
        <v>767697.16666666546</v>
      </c>
      <c r="F34">
        <f t="shared" si="3"/>
        <v>208824.7025117414</v>
      </c>
    </row>
    <row r="35" spans="1:6" ht="17.25" x14ac:dyDescent="0.15">
      <c r="A35" s="8" t="s">
        <v>73</v>
      </c>
      <c r="B35" s="9">
        <v>4614654.6499999873</v>
      </c>
      <c r="C35" s="12">
        <f t="shared" si="0"/>
        <v>2780139.2599999947</v>
      </c>
      <c r="D35">
        <f t="shared" si="1"/>
        <v>1299074.0439102782</v>
      </c>
      <c r="E35" s="12">
        <f t="shared" si="2"/>
        <v>2102839.746666661</v>
      </c>
      <c r="F35">
        <f t="shared" si="3"/>
        <v>1458718.1397492406</v>
      </c>
    </row>
    <row r="36" spans="1:6" ht="17.25" x14ac:dyDescent="0.15">
      <c r="A36" s="8" t="s">
        <v>74</v>
      </c>
      <c r="B36" s="9">
        <v>22137869.960004445</v>
      </c>
      <c r="C36" s="12">
        <f t="shared" si="0"/>
        <v>13376262.305002216</v>
      </c>
      <c r="D36">
        <f t="shared" si="1"/>
        <v>6329739.9400109826</v>
      </c>
      <c r="E36" s="12">
        <f t="shared" si="2"/>
        <v>9232716.1600014772</v>
      </c>
      <c r="F36">
        <f t="shared" si="3"/>
        <v>7591307.8939468106</v>
      </c>
    </row>
    <row r="37" spans="1:6" ht="17.25" x14ac:dyDescent="0.15">
      <c r="A37" s="8" t="s">
        <v>75</v>
      </c>
      <c r="B37" s="9">
        <v>4835470.8799997624</v>
      </c>
      <c r="C37" s="12">
        <f t="shared" si="0"/>
        <v>13486670.420002103</v>
      </c>
      <c r="D37">
        <f t="shared" si="1"/>
        <v>8706578.6099113114</v>
      </c>
      <c r="E37" s="12">
        <f t="shared" si="2"/>
        <v>10529331.830001399</v>
      </c>
      <c r="F37">
        <f t="shared" si="3"/>
        <v>8271885.3398785284</v>
      </c>
    </row>
    <row r="38" spans="1:6" ht="17.25" x14ac:dyDescent="0.15">
      <c r="A38" s="8" t="s">
        <v>76</v>
      </c>
      <c r="B38" s="9">
        <v>2961400.9599998975</v>
      </c>
      <c r="C38" s="12">
        <f t="shared" si="0"/>
        <v>3898435.91999983</v>
      </c>
      <c r="D38">
        <f t="shared" si="1"/>
        <v>6153100.3566169301</v>
      </c>
      <c r="E38" s="12">
        <f t="shared" si="2"/>
        <v>9978247.2666680347</v>
      </c>
      <c r="F38">
        <f t="shared" si="3"/>
        <v>9095771.5306085479</v>
      </c>
    </row>
    <row r="39" spans="1:6" ht="17.25" x14ac:dyDescent="0.15">
      <c r="A39" s="8" t="s">
        <v>77</v>
      </c>
      <c r="B39" s="9">
        <v>571942.73000000231</v>
      </c>
      <c r="C39" s="12">
        <f t="shared" si="0"/>
        <v>1766671.8449999499</v>
      </c>
      <c r="D39">
        <f t="shared" si="1"/>
        <v>1073641.5077880123</v>
      </c>
      <c r="E39" s="12">
        <f t="shared" si="2"/>
        <v>2789604.8566665542</v>
      </c>
      <c r="F39">
        <f t="shared" si="3"/>
        <v>5371970.7717437381</v>
      </c>
    </row>
    <row r="40" spans="1:6" ht="17.25" x14ac:dyDescent="0.15">
      <c r="A40" s="8" t="s">
        <v>78</v>
      </c>
      <c r="B40" s="9">
        <v>882883.39000000339</v>
      </c>
      <c r="C40" s="12">
        <f t="shared" si="0"/>
        <v>727413.06000000285</v>
      </c>
      <c r="D40">
        <f t="shared" si="1"/>
        <v>851923.9055628347</v>
      </c>
      <c r="E40" s="12">
        <f t="shared" si="2"/>
        <v>1472075.693333301</v>
      </c>
      <c r="F40">
        <f t="shared" si="3"/>
        <v>4262288.3122316934</v>
      </c>
    </row>
    <row r="41" spans="1:6" ht="17.25" x14ac:dyDescent="0.15">
      <c r="A41" s="8" t="s">
        <v>79</v>
      </c>
      <c r="B41" s="9">
        <v>651932.89000000665</v>
      </c>
      <c r="C41" s="12">
        <f t="shared" si="0"/>
        <v>767408.14000000502</v>
      </c>
      <c r="D41">
        <f t="shared" si="1"/>
        <v>136940.78441587661</v>
      </c>
      <c r="E41" s="12">
        <f t="shared" si="2"/>
        <v>702253.00333333749</v>
      </c>
      <c r="F41">
        <f t="shared" si="3"/>
        <v>1325104.3974173367</v>
      </c>
    </row>
    <row r="42" spans="1:6" ht="17.25" x14ac:dyDescent="0.15">
      <c r="A42" s="8" t="s">
        <v>80</v>
      </c>
      <c r="B42" s="9">
        <v>1011854.7100000062</v>
      </c>
      <c r="C42" s="12">
        <f t="shared" si="0"/>
        <v>831893.80000000645</v>
      </c>
      <c r="D42">
        <f t="shared" si="1"/>
        <v>151196.00274245042</v>
      </c>
      <c r="E42" s="12">
        <f t="shared" si="2"/>
        <v>848890.33000000531</v>
      </c>
      <c r="F42">
        <f t="shared" si="3"/>
        <v>354136.07237042871</v>
      </c>
    </row>
    <row r="43" spans="1:6" ht="18" thickBot="1" x14ac:dyDescent="0.2">
      <c r="A43" s="10" t="s">
        <v>81</v>
      </c>
      <c r="B43" s="11">
        <v>2866716.9399998919</v>
      </c>
      <c r="C43" s="12">
        <f t="shared" si="0"/>
        <v>1939285.824999949</v>
      </c>
      <c r="D43">
        <f t="shared" si="1"/>
        <v>668024.85065978847</v>
      </c>
      <c r="E43" s="12">
        <f t="shared" si="2"/>
        <v>1510168.1799999683</v>
      </c>
      <c r="F43">
        <f t="shared" si="3"/>
        <v>789369.79952617781</v>
      </c>
    </row>
    <row r="44" spans="1:6" ht="18" thickTop="1" x14ac:dyDescent="0.15">
      <c r="A44" s="8" t="s">
        <v>82</v>
      </c>
      <c r="B44" s="9"/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4"/>
  <sheetViews>
    <sheetView topLeftCell="A13" workbookViewId="0">
      <selection activeCell="F44" sqref="F44"/>
    </sheetView>
  </sheetViews>
  <sheetFormatPr defaultRowHeight="13.5" x14ac:dyDescent="0.15"/>
  <cols>
    <col min="2" max="2" width="11.75" customWidth="1"/>
  </cols>
  <sheetData>
    <row r="1" spans="1:6" ht="18" x14ac:dyDescent="0.15">
      <c r="A1" s="6" t="s">
        <v>38</v>
      </c>
      <c r="B1" s="7" t="s">
        <v>39</v>
      </c>
    </row>
    <row r="2" spans="1:6" ht="17.25" x14ac:dyDescent="0.15">
      <c r="A2" s="8" t="s">
        <v>40</v>
      </c>
      <c r="B2" s="9">
        <v>132201</v>
      </c>
      <c r="C2" t="e">
        <v>#N/A</v>
      </c>
      <c r="D2" t="e">
        <v>#N/A</v>
      </c>
      <c r="E2" t="e">
        <v>#N/A</v>
      </c>
      <c r="F2" t="e">
        <v>#N/A</v>
      </c>
    </row>
    <row r="3" spans="1:6" ht="17.25" x14ac:dyDescent="0.15">
      <c r="A3" s="8" t="s">
        <v>41</v>
      </c>
      <c r="B3" s="9">
        <v>163342</v>
      </c>
      <c r="C3" s="12">
        <f>B2</f>
        <v>132201</v>
      </c>
      <c r="D3" t="e">
        <v>#N/A</v>
      </c>
      <c r="E3" s="12">
        <f>B2</f>
        <v>132201</v>
      </c>
      <c r="F3" t="e">
        <v>#N/A</v>
      </c>
    </row>
    <row r="4" spans="1:6" ht="17.25" x14ac:dyDescent="0.15">
      <c r="A4" s="8" t="s">
        <v>42</v>
      </c>
      <c r="B4" s="9">
        <v>313773</v>
      </c>
      <c r="C4">
        <f t="shared" ref="C4:C43" si="0">0.1*B3+0.9*C3</f>
        <v>135315.1</v>
      </c>
      <c r="D4" t="e">
        <v>#N/A</v>
      </c>
      <c r="E4">
        <f t="shared" ref="E4:E43" si="1">0.9*B3+0.1*E3</f>
        <v>160227.90000000002</v>
      </c>
      <c r="F4" t="e">
        <v>#N/A</v>
      </c>
    </row>
    <row r="5" spans="1:6" ht="17.25" x14ac:dyDescent="0.15">
      <c r="A5" s="8" t="s">
        <v>43</v>
      </c>
      <c r="B5" s="9">
        <v>246013</v>
      </c>
      <c r="C5">
        <f t="shared" si="0"/>
        <v>153160.89000000001</v>
      </c>
      <c r="D5" t="e">
        <v>#N/A</v>
      </c>
      <c r="E5">
        <f t="shared" si="1"/>
        <v>298418.49</v>
      </c>
      <c r="F5" t="e">
        <v>#N/A</v>
      </c>
    </row>
    <row r="6" spans="1:6" ht="17.25" x14ac:dyDescent="0.15">
      <c r="A6" s="8" t="s">
        <v>44</v>
      </c>
      <c r="B6" s="9">
        <v>244485</v>
      </c>
      <c r="C6">
        <f t="shared" si="0"/>
        <v>162446.10100000002</v>
      </c>
      <c r="D6">
        <f t="shared" ref="D6:D43" si="2">SQRT(SUMXMY2(B3:B5,C3:C5)/3)</f>
        <v>117528.00841340203</v>
      </c>
      <c r="E6">
        <f t="shared" si="1"/>
        <v>251253.549</v>
      </c>
      <c r="F6">
        <f t="shared" ref="F6:F43" si="3">SQRT(SUMXMY2(B3:B5,E3:E5)/3)</f>
        <v>95380.282723335244</v>
      </c>
    </row>
    <row r="7" spans="1:6" ht="17.25" x14ac:dyDescent="0.15">
      <c r="A7" s="8" t="s">
        <v>45</v>
      </c>
      <c r="B7" s="9">
        <v>218109.39999999979</v>
      </c>
      <c r="C7">
        <f t="shared" si="0"/>
        <v>170649.99090000003</v>
      </c>
      <c r="D7">
        <f t="shared" si="2"/>
        <v>125431.41200538549</v>
      </c>
      <c r="E7">
        <f t="shared" si="1"/>
        <v>245161.85490000001</v>
      </c>
      <c r="F7">
        <f t="shared" si="3"/>
        <v>93751.882419706628</v>
      </c>
    </row>
    <row r="8" spans="1:6" ht="17.25" x14ac:dyDescent="0.15">
      <c r="A8" s="8" t="s">
        <v>46</v>
      </c>
      <c r="B8" s="9">
        <v>208543.51000000007</v>
      </c>
      <c r="C8">
        <f t="shared" si="0"/>
        <v>175395.93181000001</v>
      </c>
      <c r="D8">
        <f t="shared" si="2"/>
        <v>76603.504690724236</v>
      </c>
      <c r="E8">
        <f t="shared" si="1"/>
        <v>220814.64548999982</v>
      </c>
      <c r="F8">
        <f t="shared" si="3"/>
        <v>34273.33246039378</v>
      </c>
    </row>
    <row r="9" spans="1:6" ht="17.25" x14ac:dyDescent="0.15">
      <c r="A9" s="8" t="s">
        <v>47</v>
      </c>
      <c r="B9" s="9">
        <v>209520.7400000004</v>
      </c>
      <c r="C9">
        <f t="shared" si="0"/>
        <v>178710.68962900003</v>
      </c>
      <c r="D9">
        <f t="shared" si="2"/>
        <v>57969.930139442426</v>
      </c>
      <c r="E9">
        <f t="shared" si="1"/>
        <v>209770.62354900007</v>
      </c>
      <c r="F9">
        <f t="shared" si="3"/>
        <v>17590.047734404419</v>
      </c>
    </row>
    <row r="10" spans="1:6" ht="17.25" x14ac:dyDescent="0.15">
      <c r="A10" s="8" t="s">
        <v>48</v>
      </c>
      <c r="B10" s="9">
        <v>101870.19</v>
      </c>
      <c r="C10">
        <f t="shared" si="0"/>
        <v>181791.69466610008</v>
      </c>
      <c r="D10">
        <f t="shared" si="2"/>
        <v>37861.223152661471</v>
      </c>
      <c r="E10">
        <f t="shared" si="1"/>
        <v>209545.72835490038</v>
      </c>
      <c r="F10">
        <f t="shared" si="3"/>
        <v>17151.078917651583</v>
      </c>
    </row>
    <row r="11" spans="1:6" ht="17.25" x14ac:dyDescent="0.15">
      <c r="A11" s="8" t="s">
        <v>49</v>
      </c>
      <c r="B11" s="9">
        <v>904350.31999999983</v>
      </c>
      <c r="C11">
        <f t="shared" si="0"/>
        <v>173799.54419949008</v>
      </c>
      <c r="D11">
        <f t="shared" si="2"/>
        <v>53026.622407426017</v>
      </c>
      <c r="E11">
        <f t="shared" si="1"/>
        <v>112637.74383549004</v>
      </c>
      <c r="F11">
        <f t="shared" si="3"/>
        <v>62569.067885070319</v>
      </c>
    </row>
    <row r="12" spans="1:6" ht="17.25" x14ac:dyDescent="0.15">
      <c r="A12" s="8" t="s">
        <v>50</v>
      </c>
      <c r="B12" s="9">
        <v>6795016.1899999976</v>
      </c>
      <c r="C12">
        <f t="shared" si="0"/>
        <v>246854.62177954108</v>
      </c>
      <c r="D12">
        <f t="shared" si="2"/>
        <v>424672.87101747841</v>
      </c>
      <c r="E12">
        <f t="shared" si="1"/>
        <v>825179.06238354882</v>
      </c>
      <c r="F12">
        <f t="shared" si="3"/>
        <v>461303.54694020812</v>
      </c>
    </row>
    <row r="13" spans="1:6" ht="17.25" x14ac:dyDescent="0.15">
      <c r="A13" s="8" t="s">
        <v>51</v>
      </c>
      <c r="B13" s="9">
        <v>740410.84999999963</v>
      </c>
      <c r="C13">
        <f t="shared" si="0"/>
        <v>901670.77860158682</v>
      </c>
      <c r="D13">
        <f t="shared" si="2"/>
        <v>3804318.2396872025</v>
      </c>
      <c r="E13">
        <f t="shared" si="1"/>
        <v>6198032.4772383524</v>
      </c>
      <c r="F13">
        <f t="shared" si="3"/>
        <v>3477420.4115064405</v>
      </c>
    </row>
    <row r="14" spans="1:6" ht="17.25" x14ac:dyDescent="0.15">
      <c r="A14" s="8" t="s">
        <v>52</v>
      </c>
      <c r="B14" s="9">
        <v>657663.82000000018</v>
      </c>
      <c r="C14">
        <f t="shared" si="0"/>
        <v>885544.78574142815</v>
      </c>
      <c r="D14">
        <f t="shared" si="2"/>
        <v>3805177.5746612535</v>
      </c>
      <c r="E14">
        <f t="shared" si="1"/>
        <v>1286173.012723835</v>
      </c>
      <c r="F14">
        <f t="shared" si="3"/>
        <v>4692241.7513602404</v>
      </c>
    </row>
    <row r="15" spans="1:6" ht="17.25" x14ac:dyDescent="0.15">
      <c r="A15" s="8" t="s">
        <v>53</v>
      </c>
      <c r="B15" s="9">
        <v>27117.959999999985</v>
      </c>
      <c r="C15">
        <f t="shared" si="0"/>
        <v>862756.68916728534</v>
      </c>
      <c r="D15">
        <f t="shared" si="2"/>
        <v>3784017.0199863538</v>
      </c>
      <c r="E15">
        <f t="shared" si="1"/>
        <v>720514.73927238374</v>
      </c>
      <c r="F15">
        <f t="shared" si="3"/>
        <v>4684001.5998327034</v>
      </c>
    </row>
    <row r="16" spans="1:6" ht="17.25" x14ac:dyDescent="0.15">
      <c r="A16" s="8" t="s">
        <v>54</v>
      </c>
      <c r="B16" s="9">
        <v>163584.4599999999</v>
      </c>
      <c r="C16">
        <f t="shared" si="0"/>
        <v>779192.81625055685</v>
      </c>
      <c r="D16">
        <f t="shared" si="2"/>
        <v>508667.07671591721</v>
      </c>
      <c r="E16">
        <f t="shared" si="1"/>
        <v>96457.637927238364</v>
      </c>
      <c r="F16">
        <f t="shared" si="3"/>
        <v>3196949.4170194753</v>
      </c>
    </row>
    <row r="17" spans="1:6" ht="17.25" x14ac:dyDescent="0.15">
      <c r="A17" s="8" t="s">
        <v>55</v>
      </c>
      <c r="B17" s="9">
        <v>78647.430000000008</v>
      </c>
      <c r="C17">
        <f t="shared" si="0"/>
        <v>717631.98062550114</v>
      </c>
      <c r="D17">
        <f t="shared" si="2"/>
        <v>613513.2349882042</v>
      </c>
      <c r="E17">
        <f t="shared" si="1"/>
        <v>156871.77779272373</v>
      </c>
      <c r="F17">
        <f t="shared" si="3"/>
        <v>541703.76562757057</v>
      </c>
    </row>
    <row r="18" spans="1:6" ht="17.25" x14ac:dyDescent="0.15">
      <c r="A18" s="8" t="s">
        <v>56</v>
      </c>
      <c r="B18" s="9">
        <v>25670.799999999999</v>
      </c>
      <c r="C18">
        <f t="shared" si="0"/>
        <v>653733.52556295111</v>
      </c>
      <c r="D18">
        <f t="shared" si="2"/>
        <v>703696.66521589202</v>
      </c>
      <c r="E18">
        <f t="shared" si="1"/>
        <v>86469.864779272379</v>
      </c>
      <c r="F18">
        <f t="shared" si="3"/>
        <v>404732.07283110969</v>
      </c>
    </row>
    <row r="19" spans="1:6" ht="17.25" x14ac:dyDescent="0.15">
      <c r="A19" s="8" t="s">
        <v>57</v>
      </c>
      <c r="B19" s="9">
        <v>4000.1</v>
      </c>
      <c r="C19">
        <f t="shared" si="0"/>
        <v>590927.25300665596</v>
      </c>
      <c r="D19">
        <f t="shared" si="2"/>
        <v>627624.54048715811</v>
      </c>
      <c r="E19">
        <f t="shared" si="1"/>
        <v>31750.70647792724</v>
      </c>
      <c r="F19">
        <f t="shared" si="3"/>
        <v>69093.137882183713</v>
      </c>
    </row>
    <row r="20" spans="1:6" ht="17.25" x14ac:dyDescent="0.15">
      <c r="A20" s="8" t="s">
        <v>58</v>
      </c>
      <c r="B20" s="9">
        <v>61993.310000000019</v>
      </c>
      <c r="C20">
        <f t="shared" si="0"/>
        <v>532234.53770599037</v>
      </c>
      <c r="D20">
        <f t="shared" si="2"/>
        <v>618397.80242066807</v>
      </c>
      <c r="E20">
        <f t="shared" si="1"/>
        <v>6775.1606477927244</v>
      </c>
      <c r="F20">
        <f t="shared" si="3"/>
        <v>59401.658297626498</v>
      </c>
    </row>
    <row r="21" spans="1:6" ht="17.25" x14ac:dyDescent="0.15">
      <c r="A21" s="8" t="s">
        <v>59</v>
      </c>
      <c r="B21" s="9">
        <v>106575.69999999981</v>
      </c>
      <c r="C21">
        <f t="shared" si="0"/>
        <v>485210.41493539134</v>
      </c>
      <c r="D21">
        <f t="shared" si="2"/>
        <v>565706.95665173337</v>
      </c>
      <c r="E21">
        <f t="shared" si="1"/>
        <v>56471.495064779294</v>
      </c>
      <c r="F21">
        <f t="shared" si="3"/>
        <v>50052.194276939903</v>
      </c>
    </row>
    <row r="22" spans="1:6" ht="17.25" x14ac:dyDescent="0.15">
      <c r="A22" s="8" t="s">
        <v>60</v>
      </c>
      <c r="B22" s="9">
        <v>389398.58999999985</v>
      </c>
      <c r="C22">
        <f t="shared" si="0"/>
        <v>447346.94344185223</v>
      </c>
      <c r="D22">
        <f t="shared" si="2"/>
        <v>486132.54109180992</v>
      </c>
      <c r="E22">
        <f t="shared" si="1"/>
        <v>101565.27950647776</v>
      </c>
      <c r="F22">
        <f t="shared" si="3"/>
        <v>45933.181651779152</v>
      </c>
    </row>
    <row r="23" spans="1:6" ht="17.25" x14ac:dyDescent="0.15">
      <c r="A23" s="8" t="s">
        <v>61</v>
      </c>
      <c r="B23" s="9">
        <v>2040398.419999982</v>
      </c>
      <c r="C23">
        <f t="shared" si="0"/>
        <v>441552.10809766699</v>
      </c>
      <c r="D23">
        <f t="shared" si="2"/>
        <v>350166.18495378457</v>
      </c>
      <c r="E23">
        <f t="shared" si="1"/>
        <v>360615.25895064761</v>
      </c>
      <c r="F23">
        <f t="shared" si="3"/>
        <v>171665.84789422885</v>
      </c>
    </row>
    <row r="24" spans="1:6" ht="17.25" x14ac:dyDescent="0.15">
      <c r="A24" s="8" t="s">
        <v>62</v>
      </c>
      <c r="B24" s="9">
        <v>3582017.8399999551</v>
      </c>
      <c r="C24">
        <f t="shared" si="0"/>
        <v>601436.73928789853</v>
      </c>
      <c r="D24">
        <f t="shared" si="2"/>
        <v>949215.77949105995</v>
      </c>
      <c r="E24">
        <f t="shared" si="1"/>
        <v>1872420.1038950486</v>
      </c>
      <c r="F24">
        <f t="shared" si="3"/>
        <v>984383.04098332662</v>
      </c>
    </row>
    <row r="25" spans="1:6" ht="17.25" x14ac:dyDescent="0.15">
      <c r="A25" s="8" t="s">
        <v>63</v>
      </c>
      <c r="B25" s="9">
        <v>5632435.1299998108</v>
      </c>
      <c r="C25">
        <f t="shared" si="0"/>
        <v>899494.84935910429</v>
      </c>
      <c r="D25">
        <f t="shared" si="2"/>
        <v>1953077.1651142505</v>
      </c>
      <c r="E25">
        <f t="shared" si="1"/>
        <v>3411058.0663894648</v>
      </c>
      <c r="F25">
        <f t="shared" si="3"/>
        <v>1393705.3612665741</v>
      </c>
    </row>
    <row r="26" spans="1:6" ht="17.25" x14ac:dyDescent="0.15">
      <c r="A26" s="8" t="s">
        <v>64</v>
      </c>
      <c r="B26" s="9">
        <v>2115364.900000094</v>
      </c>
      <c r="C26">
        <f t="shared" si="0"/>
        <v>1372788.8774231749</v>
      </c>
      <c r="D26">
        <f t="shared" si="2"/>
        <v>3358615.6338148639</v>
      </c>
      <c r="E26">
        <f t="shared" si="1"/>
        <v>5410297.4236387769</v>
      </c>
      <c r="F26">
        <f t="shared" si="3"/>
        <v>1886700.1127342274</v>
      </c>
    </row>
    <row r="27" spans="1:6" ht="17.25" x14ac:dyDescent="0.15">
      <c r="A27" s="8" t="s">
        <v>65</v>
      </c>
      <c r="B27" s="9">
        <v>1606571.7899999921</v>
      </c>
      <c r="C27">
        <f t="shared" si="0"/>
        <v>1447046.4796808669</v>
      </c>
      <c r="D27">
        <f t="shared" si="2"/>
        <v>3257606.8182711154</v>
      </c>
      <c r="E27">
        <f t="shared" si="1"/>
        <v>2444858.1523639625</v>
      </c>
      <c r="F27">
        <f t="shared" si="3"/>
        <v>2497586.8896037182</v>
      </c>
    </row>
    <row r="28" spans="1:6" ht="17.25" x14ac:dyDescent="0.15">
      <c r="A28" s="8" t="s">
        <v>66</v>
      </c>
      <c r="B28" s="9">
        <v>1069815.0100000221</v>
      </c>
      <c r="C28">
        <f t="shared" si="0"/>
        <v>1462999.0107127796</v>
      </c>
      <c r="D28">
        <f t="shared" si="2"/>
        <v>2767525.4394524782</v>
      </c>
      <c r="E28">
        <f t="shared" si="1"/>
        <v>1690400.4262363892</v>
      </c>
      <c r="F28">
        <f t="shared" si="3"/>
        <v>2344768.6751142796</v>
      </c>
    </row>
    <row r="29" spans="1:6" ht="17.25" x14ac:dyDescent="0.15">
      <c r="A29" s="8" t="s">
        <v>67</v>
      </c>
      <c r="B29" s="9">
        <v>487723.9900000018</v>
      </c>
      <c r="C29">
        <f t="shared" si="0"/>
        <v>1423680.6106415039</v>
      </c>
      <c r="D29">
        <f t="shared" si="2"/>
        <v>493781.71032520698</v>
      </c>
      <c r="E29">
        <f t="shared" si="1"/>
        <v>1131873.551623659</v>
      </c>
      <c r="F29">
        <f t="shared" si="3"/>
        <v>1995363.844808148</v>
      </c>
    </row>
    <row r="30" spans="1:6" ht="17.25" x14ac:dyDescent="0.15">
      <c r="A30" s="8" t="s">
        <v>68</v>
      </c>
      <c r="B30" s="9">
        <v>238297.18000000049</v>
      </c>
      <c r="C30">
        <f t="shared" si="0"/>
        <v>1330084.9485773537</v>
      </c>
      <c r="D30">
        <f t="shared" si="2"/>
        <v>593311.82885324967</v>
      </c>
      <c r="E30">
        <f t="shared" si="1"/>
        <v>552138.94616236759</v>
      </c>
      <c r="F30">
        <f t="shared" si="3"/>
        <v>707761.48098791786</v>
      </c>
    </row>
    <row r="31" spans="1:6" ht="17.25" x14ac:dyDescent="0.15">
      <c r="A31" s="8" t="s">
        <v>69</v>
      </c>
      <c r="B31" s="9">
        <v>267307.50000000058</v>
      </c>
      <c r="C31">
        <f t="shared" si="0"/>
        <v>1220906.1717196186</v>
      </c>
      <c r="D31">
        <f t="shared" si="2"/>
        <v>860737.85900126921</v>
      </c>
      <c r="E31">
        <f t="shared" si="1"/>
        <v>269681.3566162372</v>
      </c>
      <c r="F31">
        <f t="shared" si="3"/>
        <v>547281.63705509936</v>
      </c>
    </row>
    <row r="32" spans="1:6" ht="17.25" x14ac:dyDescent="0.15">
      <c r="A32" s="8" t="s">
        <v>70</v>
      </c>
      <c r="B32" s="9">
        <v>609226.9099999998</v>
      </c>
      <c r="C32">
        <f t="shared" si="0"/>
        <v>1125546.3045476568</v>
      </c>
      <c r="D32">
        <f t="shared" si="2"/>
        <v>996220.4833006257</v>
      </c>
      <c r="E32">
        <f t="shared" si="1"/>
        <v>267544.88566162426</v>
      </c>
      <c r="F32">
        <f t="shared" si="3"/>
        <v>413695.11604686931</v>
      </c>
    </row>
    <row r="33" spans="1:6" ht="17.25" x14ac:dyDescent="0.15">
      <c r="A33" s="8" t="s">
        <v>71</v>
      </c>
      <c r="B33" s="9">
        <v>748240.7199999945</v>
      </c>
      <c r="C33">
        <f t="shared" si="0"/>
        <v>1073914.365092891</v>
      </c>
      <c r="D33">
        <f t="shared" si="2"/>
        <v>888432.45391468285</v>
      </c>
      <c r="E33">
        <f t="shared" si="1"/>
        <v>575058.70756616222</v>
      </c>
      <c r="F33">
        <f t="shared" si="3"/>
        <v>267861.21726192377</v>
      </c>
    </row>
    <row r="34" spans="1:6" ht="17.25" x14ac:dyDescent="0.15">
      <c r="A34" s="8" t="s">
        <v>72</v>
      </c>
      <c r="B34" s="9">
        <v>945623.87000000197</v>
      </c>
      <c r="C34">
        <f t="shared" si="0"/>
        <v>1041347.0005836014</v>
      </c>
      <c r="D34">
        <f t="shared" si="2"/>
        <v>653707.24002914666</v>
      </c>
      <c r="E34">
        <f t="shared" si="1"/>
        <v>730922.51875661127</v>
      </c>
      <c r="F34">
        <f t="shared" si="3"/>
        <v>221166.79255095898</v>
      </c>
    </row>
    <row r="35" spans="1:6" ht="17.25" x14ac:dyDescent="0.15">
      <c r="A35" s="8" t="s">
        <v>73</v>
      </c>
      <c r="B35" s="9">
        <v>4614654.6499999873</v>
      </c>
      <c r="C35">
        <f t="shared" si="0"/>
        <v>1031774.6875252415</v>
      </c>
      <c r="D35">
        <f t="shared" si="2"/>
        <v>356750.12638300861</v>
      </c>
      <c r="E35">
        <f t="shared" si="1"/>
        <v>924153.73487566283</v>
      </c>
      <c r="F35">
        <f t="shared" si="3"/>
        <v>253531.90819062604</v>
      </c>
    </row>
    <row r="36" spans="1:6" ht="17.25" x14ac:dyDescent="0.15">
      <c r="A36" s="8" t="s">
        <v>74</v>
      </c>
      <c r="B36" s="9">
        <v>22137869.960004445</v>
      </c>
      <c r="C36">
        <f t="shared" si="0"/>
        <v>1390062.6837727162</v>
      </c>
      <c r="D36">
        <f t="shared" si="2"/>
        <v>2077839.8291125854</v>
      </c>
      <c r="E36">
        <f t="shared" si="1"/>
        <v>4245604.558487555</v>
      </c>
      <c r="F36">
        <f t="shared" si="3"/>
        <v>2136655.149541751</v>
      </c>
    </row>
    <row r="37" spans="1:6" ht="17.25" x14ac:dyDescent="0.15">
      <c r="A37" s="8" t="s">
        <v>75</v>
      </c>
      <c r="B37" s="9">
        <v>4835470.8799997624</v>
      </c>
      <c r="C37">
        <f t="shared" si="0"/>
        <v>3464843.4113958892</v>
      </c>
      <c r="D37">
        <f t="shared" si="2"/>
        <v>12156173.993968194</v>
      </c>
      <c r="E37">
        <f t="shared" si="1"/>
        <v>20348643.41985276</v>
      </c>
      <c r="F37">
        <f t="shared" si="3"/>
        <v>10548286.66771809</v>
      </c>
    </row>
    <row r="38" spans="1:6" ht="17.25" x14ac:dyDescent="0.15">
      <c r="A38" s="8" t="s">
        <v>76</v>
      </c>
      <c r="B38" s="9">
        <v>2961400.9599998975</v>
      </c>
      <c r="C38">
        <f t="shared" si="0"/>
        <v>3601906.1582562765</v>
      </c>
      <c r="D38">
        <f t="shared" si="2"/>
        <v>12181778.130399639</v>
      </c>
      <c r="E38">
        <f t="shared" si="1"/>
        <v>6386788.1339850621</v>
      </c>
      <c r="F38">
        <f t="shared" si="3"/>
        <v>13837286.348294608</v>
      </c>
    </row>
    <row r="39" spans="1:6" ht="17.25" x14ac:dyDescent="0.15">
      <c r="A39" s="8" t="s">
        <v>77</v>
      </c>
      <c r="B39" s="9">
        <v>571942.73000000231</v>
      </c>
      <c r="C39">
        <f t="shared" si="0"/>
        <v>3537855.6384306387</v>
      </c>
      <c r="D39">
        <f t="shared" si="2"/>
        <v>12010556.09784353</v>
      </c>
      <c r="E39">
        <f t="shared" si="1"/>
        <v>3303939.6773984144</v>
      </c>
      <c r="F39">
        <f t="shared" si="3"/>
        <v>13814545.000846868</v>
      </c>
    </row>
    <row r="40" spans="1:6" ht="17.25" x14ac:dyDescent="0.15">
      <c r="A40" s="8" t="s">
        <v>78</v>
      </c>
      <c r="B40" s="9">
        <v>882883.39000000339</v>
      </c>
      <c r="C40">
        <f t="shared" si="0"/>
        <v>3241264.3475875747</v>
      </c>
      <c r="D40">
        <f t="shared" si="2"/>
        <v>1922282.1460510925</v>
      </c>
      <c r="E40">
        <f t="shared" si="1"/>
        <v>845142.42473984347</v>
      </c>
      <c r="F40">
        <f t="shared" si="3"/>
        <v>9306907.9516873807</v>
      </c>
    </row>
    <row r="41" spans="1:6" ht="17.25" x14ac:dyDescent="0.15">
      <c r="A41" s="8" t="s">
        <v>79</v>
      </c>
      <c r="B41" s="9">
        <v>651932.89000000665</v>
      </c>
      <c r="C41">
        <f t="shared" si="0"/>
        <v>3005426.2518288177</v>
      </c>
      <c r="D41">
        <f t="shared" si="2"/>
        <v>2218771.9599289293</v>
      </c>
      <c r="E41">
        <f t="shared" si="1"/>
        <v>879109.29347398749</v>
      </c>
      <c r="F41">
        <f t="shared" si="3"/>
        <v>2529723.8975004815</v>
      </c>
    </row>
    <row r="42" spans="1:6" ht="17.25" x14ac:dyDescent="0.15">
      <c r="A42" s="8" t="s">
        <v>80</v>
      </c>
      <c r="B42" s="9">
        <v>1011854.7100000062</v>
      </c>
      <c r="C42">
        <f t="shared" si="0"/>
        <v>2770076.915645937</v>
      </c>
      <c r="D42">
        <f t="shared" si="2"/>
        <v>2575366.0662566936</v>
      </c>
      <c r="E42">
        <f t="shared" si="1"/>
        <v>674650.53034740477</v>
      </c>
      <c r="F42">
        <f t="shared" si="3"/>
        <v>1582913.0129130473</v>
      </c>
    </row>
    <row r="43" spans="1:6" ht="18" thickBot="1" x14ac:dyDescent="0.2">
      <c r="A43" s="10" t="s">
        <v>81</v>
      </c>
      <c r="B43" s="11">
        <v>2866716.9399998919</v>
      </c>
      <c r="C43">
        <f t="shared" si="0"/>
        <v>2594254.6950813443</v>
      </c>
      <c r="D43">
        <f t="shared" si="2"/>
        <v>2175027.7446284369</v>
      </c>
      <c r="E43">
        <f t="shared" si="1"/>
        <v>978134.29203474615</v>
      </c>
      <c r="F43">
        <f t="shared" si="3"/>
        <v>235754.22055559294</v>
      </c>
    </row>
    <row r="44" spans="1:6" ht="18" thickTop="1" x14ac:dyDescent="0.15">
      <c r="A44" s="8" t="s">
        <v>82</v>
      </c>
      <c r="B44" s="9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64"/>
  <sheetViews>
    <sheetView topLeftCell="A25" workbookViewId="0">
      <selection activeCell="O45" sqref="O45"/>
    </sheetView>
  </sheetViews>
  <sheetFormatPr defaultRowHeight="13.5" x14ac:dyDescent="0.15"/>
  <sheetData>
    <row r="1" spans="1:16" x14ac:dyDescent="0.15">
      <c r="A1" s="16" t="s">
        <v>83</v>
      </c>
      <c r="B1" s="16"/>
      <c r="C1" s="16"/>
      <c r="D1" s="16"/>
      <c r="E1" s="16"/>
    </row>
    <row r="2" spans="1:16" x14ac:dyDescent="0.15">
      <c r="C2">
        <v>2012</v>
      </c>
      <c r="D2">
        <v>2013</v>
      </c>
      <c r="E2">
        <v>2014</v>
      </c>
    </row>
    <row r="3" spans="1:16" x14ac:dyDescent="0.15">
      <c r="B3" t="s">
        <v>84</v>
      </c>
      <c r="C3">
        <v>-1</v>
      </c>
      <c r="D3">
        <v>0</v>
      </c>
      <c r="E3">
        <v>1</v>
      </c>
      <c r="I3">
        <v>15.75</v>
      </c>
      <c r="K3" t="s">
        <v>4</v>
      </c>
    </row>
    <row r="4" spans="1:16" ht="14.25" thickBot="1" x14ac:dyDescent="0.2">
      <c r="A4" s="16" t="s">
        <v>85</v>
      </c>
      <c r="B4">
        <v>1</v>
      </c>
      <c r="C4">
        <v>5</v>
      </c>
      <c r="D4">
        <v>3</v>
      </c>
      <c r="E4">
        <v>9</v>
      </c>
      <c r="F4">
        <f>AVERAGE(C4:E4)</f>
        <v>5.666666666666667</v>
      </c>
      <c r="G4">
        <f t="shared" ref="G4:G8" si="0">G5-$I$8</f>
        <v>22.435763888888889</v>
      </c>
      <c r="H4">
        <f>F4/G4</f>
        <v>0.25257293198173797</v>
      </c>
      <c r="I4">
        <v>27.5</v>
      </c>
    </row>
    <row r="5" spans="1:16" x14ac:dyDescent="0.15">
      <c r="A5" s="16"/>
      <c r="B5">
        <v>2</v>
      </c>
      <c r="C5">
        <v>3</v>
      </c>
      <c r="D5">
        <v>13</v>
      </c>
      <c r="E5">
        <v>15</v>
      </c>
      <c r="F5">
        <f t="shared" ref="F5:F15" si="1">AVERAGE(C5:E5)</f>
        <v>10.333333333333334</v>
      </c>
      <c r="G5">
        <f t="shared" si="0"/>
        <v>23.543402777777779</v>
      </c>
      <c r="H5">
        <f t="shared" ref="H5:H15" si="2">F5/G5</f>
        <v>0.4389056854214291</v>
      </c>
      <c r="I5">
        <v>42.333333333333336</v>
      </c>
      <c r="K5" s="5" t="s">
        <v>5</v>
      </c>
      <c r="L5" s="5"/>
    </row>
    <row r="6" spans="1:16" x14ac:dyDescent="0.15">
      <c r="A6" s="16"/>
      <c r="B6">
        <v>3</v>
      </c>
      <c r="C6">
        <v>12</v>
      </c>
      <c r="D6">
        <v>18</v>
      </c>
      <c r="E6">
        <v>31</v>
      </c>
      <c r="F6">
        <f t="shared" si="1"/>
        <v>20.333333333333332</v>
      </c>
      <c r="G6">
        <f t="shared" si="0"/>
        <v>24.651041666666668</v>
      </c>
      <c r="H6">
        <f t="shared" si="2"/>
        <v>0.82484682019860545</v>
      </c>
      <c r="K6" s="2" t="s">
        <v>6</v>
      </c>
      <c r="L6" s="2">
        <v>0.99776533115413246</v>
      </c>
    </row>
    <row r="7" spans="1:16" x14ac:dyDescent="0.15">
      <c r="A7" s="16"/>
      <c r="B7">
        <v>4</v>
      </c>
      <c r="C7">
        <v>9</v>
      </c>
      <c r="D7">
        <v>19</v>
      </c>
      <c r="E7">
        <v>37</v>
      </c>
      <c r="F7">
        <f t="shared" si="1"/>
        <v>21.666666666666668</v>
      </c>
      <c r="G7">
        <f t="shared" si="0"/>
        <v>25.758680555555557</v>
      </c>
      <c r="H7">
        <f t="shared" si="2"/>
        <v>0.84114039226258674</v>
      </c>
      <c r="I7">
        <f>L19+L20/24</f>
        <v>29.081597222222225</v>
      </c>
      <c r="K7" s="2" t="s">
        <v>7</v>
      </c>
      <c r="L7" s="2">
        <v>0.99553565605311556</v>
      </c>
    </row>
    <row r="8" spans="1:16" x14ac:dyDescent="0.15">
      <c r="A8" s="16"/>
      <c r="B8">
        <v>5</v>
      </c>
      <c r="C8">
        <v>13</v>
      </c>
      <c r="D8">
        <v>31</v>
      </c>
      <c r="E8">
        <v>42</v>
      </c>
      <c r="F8">
        <f t="shared" si="1"/>
        <v>28.666666666666668</v>
      </c>
      <c r="G8">
        <f t="shared" si="0"/>
        <v>26.866319444444446</v>
      </c>
      <c r="H8">
        <f t="shared" si="2"/>
        <v>1.0670113085621971</v>
      </c>
      <c r="I8">
        <f>L20/12</f>
        <v>1.1076388888888888</v>
      </c>
      <c r="K8" s="2" t="s">
        <v>8</v>
      </c>
      <c r="L8" s="2">
        <v>0.99107131210623112</v>
      </c>
    </row>
    <row r="9" spans="1:16" x14ac:dyDescent="0.15">
      <c r="A9" s="16"/>
      <c r="B9">
        <v>6</v>
      </c>
      <c r="C9">
        <v>20</v>
      </c>
      <c r="D9">
        <v>34</v>
      </c>
      <c r="E9">
        <v>51</v>
      </c>
      <c r="F9">
        <f t="shared" si="1"/>
        <v>35</v>
      </c>
      <c r="G9">
        <f>G10-$I$8</f>
        <v>27.973958333333336</v>
      </c>
      <c r="H9">
        <f t="shared" si="2"/>
        <v>1.2511636566747346</v>
      </c>
      <c r="K9" s="2" t="s">
        <v>9</v>
      </c>
      <c r="L9" s="2">
        <v>1.2587655622635801</v>
      </c>
    </row>
    <row r="10" spans="1:16" ht="14.25" thickBot="1" x14ac:dyDescent="0.2">
      <c r="A10" s="16"/>
      <c r="B10">
        <v>7</v>
      </c>
      <c r="C10">
        <v>37</v>
      </c>
      <c r="D10">
        <v>60</v>
      </c>
      <c r="E10">
        <v>90</v>
      </c>
      <c r="F10">
        <f t="shared" si="1"/>
        <v>62.333333333333336</v>
      </c>
      <c r="G10">
        <f>I7</f>
        <v>29.081597222222225</v>
      </c>
      <c r="H10">
        <f t="shared" si="2"/>
        <v>2.1433944242134797</v>
      </c>
      <c r="K10" s="3" t="s">
        <v>10</v>
      </c>
      <c r="L10" s="3">
        <v>3</v>
      </c>
    </row>
    <row r="11" spans="1:16" x14ac:dyDescent="0.15">
      <c r="A11" s="16"/>
      <c r="B11">
        <v>8</v>
      </c>
      <c r="C11">
        <v>44</v>
      </c>
      <c r="D11">
        <v>62</v>
      </c>
      <c r="E11">
        <v>98</v>
      </c>
      <c r="F11">
        <f t="shared" si="1"/>
        <v>68</v>
      </c>
      <c r="G11">
        <f>G10+$I$8</f>
        <v>30.189236111111114</v>
      </c>
      <c r="H11">
        <f t="shared" si="2"/>
        <v>2.2524584507447236</v>
      </c>
    </row>
    <row r="12" spans="1:16" ht="14.25" thickBot="1" x14ac:dyDescent="0.2">
      <c r="A12" s="16"/>
      <c r="B12">
        <v>9</v>
      </c>
      <c r="C12">
        <v>26</v>
      </c>
      <c r="D12">
        <v>56</v>
      </c>
      <c r="E12">
        <v>80</v>
      </c>
      <c r="F12">
        <f t="shared" si="1"/>
        <v>54</v>
      </c>
      <c r="G12">
        <f t="shared" ref="G12:G15" si="3">G11+$I$8</f>
        <v>31.296875000000004</v>
      </c>
      <c r="H12">
        <f t="shared" si="2"/>
        <v>1.7254118821767348</v>
      </c>
      <c r="K12" t="s">
        <v>11</v>
      </c>
    </row>
    <row r="13" spans="1:16" x14ac:dyDescent="0.15">
      <c r="A13" s="16"/>
      <c r="B13">
        <v>10</v>
      </c>
      <c r="C13">
        <v>14</v>
      </c>
      <c r="D13">
        <v>24</v>
      </c>
      <c r="E13">
        <v>40</v>
      </c>
      <c r="F13">
        <f t="shared" si="1"/>
        <v>26</v>
      </c>
      <c r="G13">
        <f t="shared" si="3"/>
        <v>32.404513888888893</v>
      </c>
      <c r="H13">
        <f t="shared" si="2"/>
        <v>0.80235735333511915</v>
      </c>
      <c r="K13" s="4"/>
      <c r="L13" s="4" t="s">
        <v>16</v>
      </c>
      <c r="M13" s="4" t="s">
        <v>17</v>
      </c>
      <c r="N13" s="4" t="s">
        <v>18</v>
      </c>
      <c r="O13" s="4" t="s">
        <v>19</v>
      </c>
      <c r="P13" s="4" t="s">
        <v>20</v>
      </c>
    </row>
    <row r="14" spans="1:16" x14ac:dyDescent="0.15">
      <c r="A14" s="16"/>
      <c r="B14">
        <v>11</v>
      </c>
      <c r="C14">
        <v>5</v>
      </c>
      <c r="D14">
        <v>8</v>
      </c>
      <c r="E14">
        <v>11</v>
      </c>
      <c r="F14">
        <f t="shared" si="1"/>
        <v>8</v>
      </c>
      <c r="G14">
        <f t="shared" si="3"/>
        <v>33.512152777777779</v>
      </c>
      <c r="H14">
        <f t="shared" si="2"/>
        <v>0.23871937004610683</v>
      </c>
      <c r="K14" s="2" t="s">
        <v>12</v>
      </c>
      <c r="L14" s="2">
        <v>1</v>
      </c>
      <c r="M14" s="2">
        <v>353.33680555555554</v>
      </c>
      <c r="N14" s="2">
        <v>353.33680555555554</v>
      </c>
      <c r="O14" s="2">
        <v>222.99707815923944</v>
      </c>
      <c r="P14" s="2">
        <v>4.2567938309519431E-2</v>
      </c>
    </row>
    <row r="15" spans="1:16" x14ac:dyDescent="0.15">
      <c r="A15" s="16"/>
      <c r="B15">
        <v>12</v>
      </c>
      <c r="C15">
        <v>1</v>
      </c>
      <c r="D15">
        <v>2</v>
      </c>
      <c r="E15">
        <v>4</v>
      </c>
      <c r="F15">
        <f t="shared" si="1"/>
        <v>2.3333333333333335</v>
      </c>
      <c r="G15">
        <f t="shared" si="3"/>
        <v>34.619791666666664</v>
      </c>
      <c r="H15">
        <f t="shared" si="2"/>
        <v>6.7398826538287965E-2</v>
      </c>
      <c r="K15" s="2" t="s">
        <v>13</v>
      </c>
      <c r="L15" s="2">
        <v>1</v>
      </c>
      <c r="M15" s="2">
        <v>1.5844907407407469</v>
      </c>
      <c r="N15" s="2">
        <v>1.5844907407407469</v>
      </c>
      <c r="O15" s="2"/>
      <c r="P15" s="2"/>
    </row>
    <row r="16" spans="1:16" ht="14.25" thickBot="1" x14ac:dyDescent="0.2">
      <c r="C16" s="17">
        <f>AVERAGE(C4:C15)</f>
        <v>15.75</v>
      </c>
      <c r="D16" s="17">
        <f t="shared" ref="D16:E16" si="4">AVERAGE(D4:D15)</f>
        <v>27.5</v>
      </c>
      <c r="E16" s="17">
        <f t="shared" si="4"/>
        <v>42.333333333333336</v>
      </c>
      <c r="K16" s="3" t="s">
        <v>14</v>
      </c>
      <c r="L16" s="3">
        <v>2</v>
      </c>
      <c r="M16" s="3">
        <v>354.9212962962963</v>
      </c>
      <c r="N16" s="3"/>
      <c r="O16" s="3"/>
      <c r="P16" s="3"/>
    </row>
    <row r="17" spans="1:19" ht="14.25" thickBot="1" x14ac:dyDescent="0.2"/>
    <row r="18" spans="1:19" x14ac:dyDescent="0.15">
      <c r="C18" s="17"/>
      <c r="D18" s="17"/>
      <c r="E18" s="17"/>
      <c r="K18" s="4"/>
      <c r="L18" s="4" t="s">
        <v>21</v>
      </c>
      <c r="M18" s="4" t="s">
        <v>9</v>
      </c>
      <c r="N18" s="4" t="s">
        <v>22</v>
      </c>
      <c r="O18" s="4" t="s">
        <v>23</v>
      </c>
      <c r="P18" s="4" t="s">
        <v>24</v>
      </c>
      <c r="Q18" s="4" t="s">
        <v>25</v>
      </c>
      <c r="R18" s="4" t="s">
        <v>26</v>
      </c>
      <c r="S18" s="4" t="s">
        <v>27</v>
      </c>
    </row>
    <row r="19" spans="1:19" x14ac:dyDescent="0.15">
      <c r="C19">
        <v>18</v>
      </c>
      <c r="D19">
        <f>($I$7+C19*$I$8)*H4</f>
        <v>12.380897108514535</v>
      </c>
      <c r="K19" s="2" t="s">
        <v>15</v>
      </c>
      <c r="L19" s="2">
        <v>28.527777777777782</v>
      </c>
      <c r="M19" s="2">
        <v>0.72674863621950869</v>
      </c>
      <c r="N19" s="2">
        <v>39.253981852896374</v>
      </c>
      <c r="O19" s="2">
        <v>1.62144597234379E-2</v>
      </c>
      <c r="P19" s="2">
        <v>19.293560814236951</v>
      </c>
      <c r="Q19" s="2">
        <v>37.761994741318617</v>
      </c>
      <c r="R19" s="2">
        <v>19.293560814236951</v>
      </c>
      <c r="S19" s="2">
        <v>37.761994741318617</v>
      </c>
    </row>
    <row r="20" spans="1:19" ht="14.25" thickBot="1" x14ac:dyDescent="0.2">
      <c r="C20">
        <v>19</v>
      </c>
      <c r="D20">
        <f t="shared" ref="D20:D21" si="5">($I$7+C20*$I$8)*H5</f>
        <v>22.000909470786326</v>
      </c>
      <c r="K20" s="3" t="s">
        <v>28</v>
      </c>
      <c r="L20" s="3">
        <v>13.291666666666666</v>
      </c>
      <c r="M20" s="3">
        <v>0.89008166500067465</v>
      </c>
      <c r="N20" s="3">
        <v>14.933086692282997</v>
      </c>
      <c r="O20" s="3">
        <v>4.2567938309519424E-2</v>
      </c>
      <c r="P20" s="3">
        <v>1.9821067992528256</v>
      </c>
      <c r="Q20" s="3">
        <v>24.601226534080507</v>
      </c>
      <c r="R20" s="3">
        <v>1.9821067992528256</v>
      </c>
      <c r="S20" s="3">
        <v>24.601226534080507</v>
      </c>
    </row>
    <row r="21" spans="1:19" x14ac:dyDescent="0.15">
      <c r="C21">
        <v>20</v>
      </c>
      <c r="D21">
        <f t="shared" si="5"/>
        <v>42.260511303612923</v>
      </c>
    </row>
    <row r="28" spans="1:19" x14ac:dyDescent="0.15">
      <c r="A28" t="s">
        <v>84</v>
      </c>
      <c r="B28" t="s">
        <v>121</v>
      </c>
      <c r="C28" t="s">
        <v>122</v>
      </c>
      <c r="D28" t="s">
        <v>123</v>
      </c>
      <c r="E28" t="s">
        <v>124</v>
      </c>
      <c r="F28" t="s">
        <v>125</v>
      </c>
      <c r="G28" t="s">
        <v>126</v>
      </c>
      <c r="H28" t="s">
        <v>127</v>
      </c>
      <c r="I28" t="s">
        <v>128</v>
      </c>
      <c r="J28" t="s">
        <v>129</v>
      </c>
      <c r="K28" t="s">
        <v>130</v>
      </c>
      <c r="L28" t="s">
        <v>131</v>
      </c>
      <c r="M28" t="s">
        <v>132</v>
      </c>
    </row>
    <row r="29" spans="1:19" x14ac:dyDescent="0.15">
      <c r="A29">
        <v>1</v>
      </c>
      <c r="B29">
        <v>5</v>
      </c>
      <c r="C29">
        <f>IF(MOD(A29,12)=1,1,0)</f>
        <v>1</v>
      </c>
      <c r="D29">
        <f>IF(MOD(A29,12)=2,1,0)</f>
        <v>0</v>
      </c>
      <c r="E29">
        <f>IF(MOD(A29,12)=3,1,0)</f>
        <v>0</v>
      </c>
      <c r="F29">
        <f>IF(MOD(A29,12)=4,1,0)</f>
        <v>0</v>
      </c>
      <c r="G29">
        <f>IF(MOD(A29,12)=5,1,0)</f>
        <v>0</v>
      </c>
      <c r="H29">
        <f>IF(MOD(A29,12)=6,1,0)</f>
        <v>0</v>
      </c>
      <c r="I29">
        <f>IF(MOD(A29,12)=7,1,0)</f>
        <v>0</v>
      </c>
      <c r="J29">
        <f>IF(MOD(A29,12)=8,1,0)</f>
        <v>0</v>
      </c>
      <c r="K29">
        <f>IF(MOD(A29,12)=9,1,0)</f>
        <v>0</v>
      </c>
      <c r="L29">
        <f>IF(MOD(A29,12)=10,1,0)</f>
        <v>0</v>
      </c>
      <c r="M29">
        <f>IF(MOD(A29,12)=11,1,0)</f>
        <v>0</v>
      </c>
      <c r="O29" t="s">
        <v>4</v>
      </c>
    </row>
    <row r="30" spans="1:19" ht="14.25" thickBot="1" x14ac:dyDescent="0.2">
      <c r="A30">
        <v>2</v>
      </c>
      <c r="B30">
        <v>3</v>
      </c>
      <c r="C30">
        <f t="shared" ref="C30:C64" si="6">IF(MOD(A30,12)=1,1,0)</f>
        <v>0</v>
      </c>
      <c r="D30">
        <f t="shared" ref="D30:D64" si="7">IF(MOD(A30,12)=2,1,0)</f>
        <v>1</v>
      </c>
      <c r="E30">
        <f t="shared" ref="E30:E64" si="8">IF(MOD(A30,12)=3,1,0)</f>
        <v>0</v>
      </c>
      <c r="F30">
        <f t="shared" ref="F30:F64" si="9">IF(MOD(A30,12)=4,1,0)</f>
        <v>0</v>
      </c>
      <c r="G30">
        <f t="shared" ref="G30:G64" si="10">IF(MOD(A30,12)=5,1,0)</f>
        <v>0</v>
      </c>
      <c r="H30">
        <f t="shared" ref="H30:H64" si="11">IF(MOD(A30,12)=6,1,0)</f>
        <v>0</v>
      </c>
      <c r="I30">
        <f t="shared" ref="I30:I64" si="12">IF(MOD(A30,12)=7,1,0)</f>
        <v>0</v>
      </c>
      <c r="J30">
        <f t="shared" ref="J30:J64" si="13">IF(MOD(A30,12)=8,1,0)</f>
        <v>0</v>
      </c>
      <c r="K30">
        <f t="shared" ref="K30:K64" si="14">IF(MOD(A30,12)=9,1,0)</f>
        <v>0</v>
      </c>
      <c r="L30">
        <f t="shared" ref="L30:L64" si="15">IF(MOD(A30,12)=10,1,0)</f>
        <v>0</v>
      </c>
      <c r="M30">
        <f t="shared" ref="M30:M64" si="16">IF(MOD(A30,12)=11,1,0)</f>
        <v>0</v>
      </c>
    </row>
    <row r="31" spans="1:19" x14ac:dyDescent="0.15">
      <c r="A31">
        <v>3</v>
      </c>
      <c r="B31">
        <v>12</v>
      </c>
      <c r="C31">
        <f t="shared" si="6"/>
        <v>0</v>
      </c>
      <c r="D31">
        <f t="shared" si="7"/>
        <v>0</v>
      </c>
      <c r="E31">
        <f t="shared" si="8"/>
        <v>1</v>
      </c>
      <c r="F31">
        <f t="shared" si="9"/>
        <v>0</v>
      </c>
      <c r="G31">
        <f t="shared" si="10"/>
        <v>0</v>
      </c>
      <c r="H31">
        <f t="shared" si="11"/>
        <v>0</v>
      </c>
      <c r="I31">
        <f t="shared" si="12"/>
        <v>0</v>
      </c>
      <c r="J31">
        <f t="shared" si="13"/>
        <v>0</v>
      </c>
      <c r="K31">
        <f t="shared" si="14"/>
        <v>0</v>
      </c>
      <c r="L31">
        <f t="shared" si="15"/>
        <v>0</v>
      </c>
      <c r="M31">
        <f t="shared" si="16"/>
        <v>0</v>
      </c>
      <c r="O31" s="5" t="s">
        <v>5</v>
      </c>
      <c r="P31" s="5"/>
    </row>
    <row r="32" spans="1:19" x14ac:dyDescent="0.15">
      <c r="A32">
        <v>4</v>
      </c>
      <c r="B32">
        <v>9</v>
      </c>
      <c r="C32">
        <f t="shared" si="6"/>
        <v>0</v>
      </c>
      <c r="D32">
        <f t="shared" si="7"/>
        <v>0</v>
      </c>
      <c r="E32">
        <f t="shared" si="8"/>
        <v>0</v>
      </c>
      <c r="F32">
        <f t="shared" si="9"/>
        <v>1</v>
      </c>
      <c r="G32">
        <f t="shared" si="10"/>
        <v>0</v>
      </c>
      <c r="H32">
        <f t="shared" si="11"/>
        <v>0</v>
      </c>
      <c r="I32">
        <f t="shared" si="12"/>
        <v>0</v>
      </c>
      <c r="J32">
        <f t="shared" si="13"/>
        <v>0</v>
      </c>
      <c r="K32">
        <f t="shared" si="14"/>
        <v>0</v>
      </c>
      <c r="L32">
        <f t="shared" si="15"/>
        <v>0</v>
      </c>
      <c r="M32">
        <f t="shared" si="16"/>
        <v>0</v>
      </c>
      <c r="O32" s="2" t="s">
        <v>6</v>
      </c>
      <c r="P32" s="2">
        <v>0.84903101389280344</v>
      </c>
    </row>
    <row r="33" spans="1:23" x14ac:dyDescent="0.15">
      <c r="A33">
        <v>5</v>
      </c>
      <c r="B33">
        <v>13</v>
      </c>
      <c r="C33">
        <f t="shared" si="6"/>
        <v>0</v>
      </c>
      <c r="D33">
        <f t="shared" si="7"/>
        <v>0</v>
      </c>
      <c r="E33">
        <f t="shared" si="8"/>
        <v>0</v>
      </c>
      <c r="F33">
        <f t="shared" si="9"/>
        <v>0</v>
      </c>
      <c r="G33">
        <f t="shared" si="10"/>
        <v>1</v>
      </c>
      <c r="H33">
        <f t="shared" si="11"/>
        <v>0</v>
      </c>
      <c r="I33">
        <f t="shared" si="12"/>
        <v>0</v>
      </c>
      <c r="J33">
        <f t="shared" si="13"/>
        <v>0</v>
      </c>
      <c r="K33">
        <f t="shared" si="14"/>
        <v>0</v>
      </c>
      <c r="L33">
        <f t="shared" si="15"/>
        <v>0</v>
      </c>
      <c r="M33">
        <f t="shared" si="16"/>
        <v>0</v>
      </c>
      <c r="O33" s="2" t="s">
        <v>7</v>
      </c>
      <c r="P33" s="2">
        <v>0.7208536625518418</v>
      </c>
    </row>
    <row r="34" spans="1:23" x14ac:dyDescent="0.15">
      <c r="A34">
        <v>6</v>
      </c>
      <c r="B34">
        <v>20</v>
      </c>
      <c r="C34">
        <f t="shared" si="6"/>
        <v>0</v>
      </c>
      <c r="D34">
        <f t="shared" si="7"/>
        <v>0</v>
      </c>
      <c r="E34">
        <f t="shared" si="8"/>
        <v>0</v>
      </c>
      <c r="F34">
        <f t="shared" si="9"/>
        <v>0</v>
      </c>
      <c r="G34">
        <f t="shared" si="10"/>
        <v>0</v>
      </c>
      <c r="H34">
        <f t="shared" si="11"/>
        <v>1</v>
      </c>
      <c r="I34">
        <f t="shared" si="12"/>
        <v>0</v>
      </c>
      <c r="J34">
        <f t="shared" si="13"/>
        <v>0</v>
      </c>
      <c r="K34">
        <f t="shared" si="14"/>
        <v>0</v>
      </c>
      <c r="L34">
        <f t="shared" si="15"/>
        <v>0</v>
      </c>
      <c r="M34">
        <f t="shared" si="16"/>
        <v>0</v>
      </c>
      <c r="O34" s="2" t="s">
        <v>8</v>
      </c>
      <c r="P34" s="2">
        <v>0.59291159122143589</v>
      </c>
    </row>
    <row r="35" spans="1:23" x14ac:dyDescent="0.15">
      <c r="A35">
        <v>7</v>
      </c>
      <c r="B35">
        <v>37</v>
      </c>
      <c r="C35">
        <f t="shared" si="6"/>
        <v>0</v>
      </c>
      <c r="D35">
        <f t="shared" si="7"/>
        <v>0</v>
      </c>
      <c r="E35">
        <f t="shared" si="8"/>
        <v>0</v>
      </c>
      <c r="F35">
        <f t="shared" si="9"/>
        <v>0</v>
      </c>
      <c r="G35">
        <f t="shared" si="10"/>
        <v>0</v>
      </c>
      <c r="H35">
        <f t="shared" si="11"/>
        <v>0</v>
      </c>
      <c r="I35">
        <f t="shared" si="12"/>
        <v>1</v>
      </c>
      <c r="J35">
        <f t="shared" si="13"/>
        <v>0</v>
      </c>
      <c r="K35">
        <f t="shared" si="14"/>
        <v>0</v>
      </c>
      <c r="L35">
        <f t="shared" si="15"/>
        <v>0</v>
      </c>
      <c r="M35">
        <f t="shared" si="16"/>
        <v>0</v>
      </c>
      <c r="O35" s="2" t="s">
        <v>9</v>
      </c>
      <c r="P35" s="2">
        <v>16.277114131333121</v>
      </c>
    </row>
    <row r="36" spans="1:23" ht="14.25" thickBot="1" x14ac:dyDescent="0.2">
      <c r="A36">
        <v>8</v>
      </c>
      <c r="B36">
        <v>44</v>
      </c>
      <c r="C36">
        <f t="shared" si="6"/>
        <v>0</v>
      </c>
      <c r="D36">
        <f t="shared" si="7"/>
        <v>0</v>
      </c>
      <c r="E36">
        <f t="shared" si="8"/>
        <v>0</v>
      </c>
      <c r="F36">
        <f t="shared" si="9"/>
        <v>0</v>
      </c>
      <c r="G36">
        <f t="shared" si="10"/>
        <v>0</v>
      </c>
      <c r="H36">
        <f t="shared" si="11"/>
        <v>0</v>
      </c>
      <c r="I36">
        <f t="shared" si="12"/>
        <v>0</v>
      </c>
      <c r="J36">
        <f t="shared" si="13"/>
        <v>1</v>
      </c>
      <c r="K36">
        <f t="shared" si="14"/>
        <v>0</v>
      </c>
      <c r="L36">
        <f t="shared" si="15"/>
        <v>0</v>
      </c>
      <c r="M36">
        <f t="shared" si="16"/>
        <v>0</v>
      </c>
      <c r="O36" s="3" t="s">
        <v>10</v>
      </c>
      <c r="P36" s="3">
        <v>36</v>
      </c>
    </row>
    <row r="37" spans="1:23" x14ac:dyDescent="0.15">
      <c r="A37">
        <v>9</v>
      </c>
      <c r="B37">
        <v>26</v>
      </c>
      <c r="C37">
        <f t="shared" si="6"/>
        <v>0</v>
      </c>
      <c r="D37">
        <f t="shared" si="7"/>
        <v>0</v>
      </c>
      <c r="E37">
        <f t="shared" si="8"/>
        <v>0</v>
      </c>
      <c r="F37">
        <f t="shared" si="9"/>
        <v>0</v>
      </c>
      <c r="G37">
        <f t="shared" si="10"/>
        <v>0</v>
      </c>
      <c r="H37">
        <f t="shared" si="11"/>
        <v>0</v>
      </c>
      <c r="I37">
        <f t="shared" si="12"/>
        <v>0</v>
      </c>
      <c r="J37">
        <f t="shared" si="13"/>
        <v>0</v>
      </c>
      <c r="K37">
        <f t="shared" si="14"/>
        <v>1</v>
      </c>
      <c r="L37">
        <f t="shared" si="15"/>
        <v>0</v>
      </c>
      <c r="M37">
        <f t="shared" si="16"/>
        <v>0</v>
      </c>
    </row>
    <row r="38" spans="1:23" ht="14.25" thickBot="1" x14ac:dyDescent="0.2">
      <c r="A38">
        <v>10</v>
      </c>
      <c r="B38">
        <v>14</v>
      </c>
      <c r="C38">
        <f t="shared" si="6"/>
        <v>0</v>
      </c>
      <c r="D38">
        <f t="shared" si="7"/>
        <v>0</v>
      </c>
      <c r="E38">
        <f t="shared" si="8"/>
        <v>0</v>
      </c>
      <c r="F38">
        <f t="shared" si="9"/>
        <v>0</v>
      </c>
      <c r="G38">
        <f t="shared" si="10"/>
        <v>0</v>
      </c>
      <c r="H38">
        <f t="shared" si="11"/>
        <v>0</v>
      </c>
      <c r="I38">
        <f t="shared" si="12"/>
        <v>0</v>
      </c>
      <c r="J38">
        <f t="shared" si="13"/>
        <v>0</v>
      </c>
      <c r="K38">
        <f t="shared" si="14"/>
        <v>0</v>
      </c>
      <c r="L38">
        <f t="shared" si="15"/>
        <v>1</v>
      </c>
      <c r="M38">
        <f t="shared" si="16"/>
        <v>0</v>
      </c>
      <c r="O38" t="s">
        <v>11</v>
      </c>
    </row>
    <row r="39" spans="1:23" x14ac:dyDescent="0.15">
      <c r="A39">
        <v>11</v>
      </c>
      <c r="B39">
        <v>5</v>
      </c>
      <c r="C39">
        <f t="shared" si="6"/>
        <v>0</v>
      </c>
      <c r="D39">
        <f t="shared" si="7"/>
        <v>0</v>
      </c>
      <c r="E39">
        <f t="shared" si="8"/>
        <v>0</v>
      </c>
      <c r="F39">
        <f t="shared" si="9"/>
        <v>0</v>
      </c>
      <c r="G39">
        <f t="shared" si="10"/>
        <v>0</v>
      </c>
      <c r="H39">
        <f t="shared" si="11"/>
        <v>0</v>
      </c>
      <c r="I39">
        <f t="shared" si="12"/>
        <v>0</v>
      </c>
      <c r="J39">
        <f t="shared" si="13"/>
        <v>0</v>
      </c>
      <c r="K39">
        <f t="shared" si="14"/>
        <v>0</v>
      </c>
      <c r="L39">
        <f t="shared" si="15"/>
        <v>0</v>
      </c>
      <c r="M39">
        <f t="shared" si="16"/>
        <v>1</v>
      </c>
      <c r="O39" s="4"/>
      <c r="P39" s="4" t="s">
        <v>16</v>
      </c>
      <c r="Q39" s="4" t="s">
        <v>17</v>
      </c>
      <c r="R39" s="4" t="s">
        <v>18</v>
      </c>
      <c r="S39" s="4" t="s">
        <v>19</v>
      </c>
      <c r="T39" s="4" t="s">
        <v>20</v>
      </c>
    </row>
    <row r="40" spans="1:23" x14ac:dyDescent="0.15">
      <c r="A40">
        <v>12</v>
      </c>
      <c r="B40">
        <v>1</v>
      </c>
      <c r="C40">
        <f t="shared" si="6"/>
        <v>0</v>
      </c>
      <c r="D40">
        <f t="shared" si="7"/>
        <v>0</v>
      </c>
      <c r="E40">
        <f t="shared" si="8"/>
        <v>0</v>
      </c>
      <c r="F40">
        <f t="shared" si="9"/>
        <v>0</v>
      </c>
      <c r="G40">
        <f t="shared" si="10"/>
        <v>0</v>
      </c>
      <c r="H40">
        <f t="shared" si="11"/>
        <v>0</v>
      </c>
      <c r="I40">
        <f t="shared" si="12"/>
        <v>0</v>
      </c>
      <c r="J40">
        <f t="shared" si="13"/>
        <v>0</v>
      </c>
      <c r="K40">
        <f t="shared" si="14"/>
        <v>0</v>
      </c>
      <c r="L40">
        <f t="shared" si="15"/>
        <v>0</v>
      </c>
      <c r="M40">
        <f t="shared" si="16"/>
        <v>0</v>
      </c>
      <c r="O40" s="2" t="s">
        <v>12</v>
      </c>
      <c r="P40" s="2">
        <v>11</v>
      </c>
      <c r="Q40" s="2">
        <v>16420.305555555555</v>
      </c>
      <c r="R40" s="2">
        <v>1492.7550505050503</v>
      </c>
      <c r="S40" s="2">
        <v>5.6342191044434706</v>
      </c>
      <c r="T40" s="2">
        <v>2.0121181285276133E-4</v>
      </c>
    </row>
    <row r="41" spans="1:23" x14ac:dyDescent="0.15">
      <c r="A41">
        <v>13</v>
      </c>
      <c r="B41">
        <v>3</v>
      </c>
      <c r="C41">
        <f t="shared" si="6"/>
        <v>1</v>
      </c>
      <c r="D41">
        <f t="shared" si="7"/>
        <v>0</v>
      </c>
      <c r="E41">
        <f t="shared" si="8"/>
        <v>0</v>
      </c>
      <c r="F41">
        <f t="shared" si="9"/>
        <v>0</v>
      </c>
      <c r="G41">
        <f t="shared" si="10"/>
        <v>0</v>
      </c>
      <c r="H41">
        <f t="shared" si="11"/>
        <v>0</v>
      </c>
      <c r="I41">
        <f t="shared" si="12"/>
        <v>0</v>
      </c>
      <c r="J41">
        <f t="shared" si="13"/>
        <v>0</v>
      </c>
      <c r="K41">
        <f t="shared" si="14"/>
        <v>0</v>
      </c>
      <c r="L41">
        <f t="shared" si="15"/>
        <v>0</v>
      </c>
      <c r="M41">
        <f t="shared" si="16"/>
        <v>0</v>
      </c>
      <c r="O41" s="2" t="s">
        <v>13</v>
      </c>
      <c r="P41" s="2">
        <v>24</v>
      </c>
      <c r="Q41" s="2">
        <v>6358.6666666666661</v>
      </c>
      <c r="R41" s="2">
        <v>264.9444444444444</v>
      </c>
      <c r="S41" s="2"/>
      <c r="T41" s="2"/>
    </row>
    <row r="42" spans="1:23" ht="14.25" thickBot="1" x14ac:dyDescent="0.2">
      <c r="A42">
        <v>14</v>
      </c>
      <c r="B42">
        <v>13</v>
      </c>
      <c r="C42">
        <f t="shared" si="6"/>
        <v>0</v>
      </c>
      <c r="D42">
        <f t="shared" si="7"/>
        <v>1</v>
      </c>
      <c r="E42">
        <f t="shared" si="8"/>
        <v>0</v>
      </c>
      <c r="F42">
        <f t="shared" si="9"/>
        <v>0</v>
      </c>
      <c r="G42">
        <f t="shared" si="10"/>
        <v>0</v>
      </c>
      <c r="H42">
        <f t="shared" si="11"/>
        <v>0</v>
      </c>
      <c r="I42">
        <f t="shared" si="12"/>
        <v>0</v>
      </c>
      <c r="J42">
        <f t="shared" si="13"/>
        <v>0</v>
      </c>
      <c r="K42">
        <f t="shared" si="14"/>
        <v>0</v>
      </c>
      <c r="L42">
        <f t="shared" si="15"/>
        <v>0</v>
      </c>
      <c r="M42">
        <f t="shared" si="16"/>
        <v>0</v>
      </c>
      <c r="O42" s="3" t="s">
        <v>14</v>
      </c>
      <c r="P42" s="3">
        <v>35</v>
      </c>
      <c r="Q42" s="3">
        <v>22778.972222222219</v>
      </c>
      <c r="R42" s="3"/>
      <c r="S42" s="3"/>
      <c r="T42" s="3"/>
    </row>
    <row r="43" spans="1:23" ht="14.25" thickBot="1" x14ac:dyDescent="0.2">
      <c r="A43">
        <v>15</v>
      </c>
      <c r="B43">
        <v>18</v>
      </c>
      <c r="C43">
        <f t="shared" si="6"/>
        <v>0</v>
      </c>
      <c r="D43">
        <f t="shared" si="7"/>
        <v>0</v>
      </c>
      <c r="E43">
        <f t="shared" si="8"/>
        <v>1</v>
      </c>
      <c r="F43">
        <f t="shared" si="9"/>
        <v>0</v>
      </c>
      <c r="G43">
        <f t="shared" si="10"/>
        <v>0</v>
      </c>
      <c r="H43">
        <f t="shared" si="11"/>
        <v>0</v>
      </c>
      <c r="I43">
        <f t="shared" si="12"/>
        <v>0</v>
      </c>
      <c r="J43">
        <f t="shared" si="13"/>
        <v>0</v>
      </c>
      <c r="K43">
        <f t="shared" si="14"/>
        <v>0</v>
      </c>
      <c r="L43">
        <f t="shared" si="15"/>
        <v>0</v>
      </c>
      <c r="M43">
        <f t="shared" si="16"/>
        <v>0</v>
      </c>
    </row>
    <row r="44" spans="1:23" x14ac:dyDescent="0.15">
      <c r="A44">
        <v>16</v>
      </c>
      <c r="B44">
        <v>19</v>
      </c>
      <c r="C44">
        <f t="shared" si="6"/>
        <v>0</v>
      </c>
      <c r="D44">
        <f t="shared" si="7"/>
        <v>0</v>
      </c>
      <c r="E44">
        <f t="shared" si="8"/>
        <v>0</v>
      </c>
      <c r="F44">
        <f t="shared" si="9"/>
        <v>1</v>
      </c>
      <c r="G44">
        <f t="shared" si="10"/>
        <v>0</v>
      </c>
      <c r="H44">
        <f t="shared" si="11"/>
        <v>0</v>
      </c>
      <c r="I44">
        <f t="shared" si="12"/>
        <v>0</v>
      </c>
      <c r="J44">
        <f t="shared" si="13"/>
        <v>0</v>
      </c>
      <c r="K44">
        <f t="shared" si="14"/>
        <v>0</v>
      </c>
      <c r="L44">
        <f t="shared" si="15"/>
        <v>0</v>
      </c>
      <c r="M44">
        <f t="shared" si="16"/>
        <v>0</v>
      </c>
      <c r="O44" s="4"/>
      <c r="P44" s="4" t="s">
        <v>21</v>
      </c>
      <c r="Q44" s="4" t="s">
        <v>9</v>
      </c>
      <c r="R44" s="4" t="s">
        <v>22</v>
      </c>
      <c r="S44" s="4" t="s">
        <v>23</v>
      </c>
      <c r="T44" s="4" t="s">
        <v>24</v>
      </c>
      <c r="U44" s="4" t="s">
        <v>25</v>
      </c>
      <c r="V44" s="4" t="s">
        <v>26</v>
      </c>
      <c r="W44" s="4" t="s">
        <v>27</v>
      </c>
    </row>
    <row r="45" spans="1:23" x14ac:dyDescent="0.15">
      <c r="A45">
        <v>17</v>
      </c>
      <c r="B45">
        <v>31</v>
      </c>
      <c r="C45">
        <f t="shared" si="6"/>
        <v>0</v>
      </c>
      <c r="D45">
        <f t="shared" si="7"/>
        <v>0</v>
      </c>
      <c r="E45">
        <f t="shared" si="8"/>
        <v>0</v>
      </c>
      <c r="F45">
        <f t="shared" si="9"/>
        <v>0</v>
      </c>
      <c r="G45">
        <f t="shared" si="10"/>
        <v>1</v>
      </c>
      <c r="H45">
        <f t="shared" si="11"/>
        <v>0</v>
      </c>
      <c r="I45">
        <f t="shared" si="12"/>
        <v>0</v>
      </c>
      <c r="J45">
        <f t="shared" si="13"/>
        <v>0</v>
      </c>
      <c r="K45">
        <f t="shared" si="14"/>
        <v>0</v>
      </c>
      <c r="L45">
        <f t="shared" si="15"/>
        <v>0</v>
      </c>
      <c r="M45">
        <f t="shared" si="16"/>
        <v>0</v>
      </c>
      <c r="O45" s="2" t="s">
        <v>15</v>
      </c>
      <c r="P45" s="2">
        <v>2.333333333333329</v>
      </c>
      <c r="Q45" s="2">
        <v>9.3975962253554339</v>
      </c>
      <c r="R45" s="2">
        <v>0.24829044336229483</v>
      </c>
      <c r="S45" s="2">
        <v>0.80602190258466222</v>
      </c>
      <c r="T45" s="2">
        <v>-17.062351998938713</v>
      </c>
      <c r="U45" s="2">
        <v>21.72901866560537</v>
      </c>
      <c r="V45" s="2">
        <v>-17.062351998938713</v>
      </c>
      <c r="W45" s="2">
        <v>21.72901866560537</v>
      </c>
    </row>
    <row r="46" spans="1:23" x14ac:dyDescent="0.15">
      <c r="A46">
        <v>18</v>
      </c>
      <c r="B46">
        <v>34</v>
      </c>
      <c r="C46">
        <f t="shared" si="6"/>
        <v>0</v>
      </c>
      <c r="D46">
        <f t="shared" si="7"/>
        <v>0</v>
      </c>
      <c r="E46">
        <f t="shared" si="8"/>
        <v>0</v>
      </c>
      <c r="F46">
        <f t="shared" si="9"/>
        <v>0</v>
      </c>
      <c r="G46">
        <f t="shared" si="10"/>
        <v>0</v>
      </c>
      <c r="H46">
        <f t="shared" si="11"/>
        <v>1</v>
      </c>
      <c r="I46">
        <f t="shared" si="12"/>
        <v>0</v>
      </c>
      <c r="J46">
        <f t="shared" si="13"/>
        <v>0</v>
      </c>
      <c r="K46">
        <f t="shared" si="14"/>
        <v>0</v>
      </c>
      <c r="L46">
        <f t="shared" si="15"/>
        <v>0</v>
      </c>
      <c r="M46">
        <f t="shared" si="16"/>
        <v>0</v>
      </c>
      <c r="O46" s="2" t="s">
        <v>28</v>
      </c>
      <c r="P46" s="2">
        <v>3.3333333333333353</v>
      </c>
      <c r="Q46" s="2">
        <v>13.290208035603856</v>
      </c>
      <c r="R46" s="2">
        <v>0.25081122315041937</v>
      </c>
      <c r="S46" s="2">
        <v>0.80409489212527341</v>
      </c>
      <c r="T46" s="2">
        <v>-24.096307915086687</v>
      </c>
      <c r="U46" s="2">
        <v>30.762974581753358</v>
      </c>
      <c r="V46" s="2">
        <v>-24.096307915086687</v>
      </c>
      <c r="W46" s="2">
        <v>30.762974581753358</v>
      </c>
    </row>
    <row r="47" spans="1:23" x14ac:dyDescent="0.15">
      <c r="A47">
        <v>19</v>
      </c>
      <c r="B47">
        <v>60</v>
      </c>
      <c r="C47">
        <f t="shared" si="6"/>
        <v>0</v>
      </c>
      <c r="D47">
        <f t="shared" si="7"/>
        <v>0</v>
      </c>
      <c r="E47">
        <f t="shared" si="8"/>
        <v>0</v>
      </c>
      <c r="F47">
        <f t="shared" si="9"/>
        <v>0</v>
      </c>
      <c r="G47">
        <f t="shared" si="10"/>
        <v>0</v>
      </c>
      <c r="H47">
        <f t="shared" si="11"/>
        <v>0</v>
      </c>
      <c r="I47">
        <f t="shared" si="12"/>
        <v>1</v>
      </c>
      <c r="J47">
        <f t="shared" si="13"/>
        <v>0</v>
      </c>
      <c r="K47">
        <f t="shared" si="14"/>
        <v>0</v>
      </c>
      <c r="L47">
        <f t="shared" si="15"/>
        <v>0</v>
      </c>
      <c r="M47">
        <f t="shared" si="16"/>
        <v>0</v>
      </c>
      <c r="O47" s="2" t="s">
        <v>29</v>
      </c>
      <c r="P47" s="2">
        <v>8.0000000000000231</v>
      </c>
      <c r="Q47" s="2">
        <v>13.290208035603879</v>
      </c>
      <c r="R47" s="2">
        <v>0.60194693556100687</v>
      </c>
      <c r="S47" s="2">
        <v>0.55285418853641177</v>
      </c>
      <c r="T47" s="2">
        <v>-19.429641248420047</v>
      </c>
      <c r="U47" s="2">
        <v>35.429641248420097</v>
      </c>
      <c r="V47" s="2">
        <v>-19.429641248420047</v>
      </c>
      <c r="W47" s="2">
        <v>35.429641248420097</v>
      </c>
    </row>
    <row r="48" spans="1:23" x14ac:dyDescent="0.15">
      <c r="A48">
        <v>20</v>
      </c>
      <c r="B48">
        <v>62</v>
      </c>
      <c r="C48">
        <f t="shared" si="6"/>
        <v>0</v>
      </c>
      <c r="D48">
        <f t="shared" si="7"/>
        <v>0</v>
      </c>
      <c r="E48">
        <f t="shared" si="8"/>
        <v>0</v>
      </c>
      <c r="F48">
        <f t="shared" si="9"/>
        <v>0</v>
      </c>
      <c r="G48">
        <f t="shared" si="10"/>
        <v>0</v>
      </c>
      <c r="H48">
        <f t="shared" si="11"/>
        <v>0</v>
      </c>
      <c r="I48">
        <f t="shared" si="12"/>
        <v>0</v>
      </c>
      <c r="J48">
        <f t="shared" si="13"/>
        <v>1</v>
      </c>
      <c r="K48">
        <f t="shared" si="14"/>
        <v>0</v>
      </c>
      <c r="L48">
        <f t="shared" si="15"/>
        <v>0</v>
      </c>
      <c r="M48">
        <f t="shared" si="16"/>
        <v>0</v>
      </c>
      <c r="O48" s="2" t="s">
        <v>120</v>
      </c>
      <c r="P48" s="2">
        <v>17.999999999999989</v>
      </c>
      <c r="Q48" s="2">
        <v>13.290208035603861</v>
      </c>
      <c r="R48" s="2">
        <v>1.3543806050122624</v>
      </c>
      <c r="S48" s="2">
        <v>0.1882300612149275</v>
      </c>
      <c r="T48" s="2">
        <v>-9.4296412484200438</v>
      </c>
      <c r="U48" s="2">
        <v>45.429641248420026</v>
      </c>
      <c r="V48" s="2">
        <v>-9.4296412484200438</v>
      </c>
      <c r="W48" s="2">
        <v>45.429641248420026</v>
      </c>
    </row>
    <row r="49" spans="1:23" x14ac:dyDescent="0.15">
      <c r="A49">
        <v>21</v>
      </c>
      <c r="B49">
        <v>56</v>
      </c>
      <c r="C49">
        <f t="shared" si="6"/>
        <v>0</v>
      </c>
      <c r="D49">
        <f t="shared" si="7"/>
        <v>0</v>
      </c>
      <c r="E49">
        <f t="shared" si="8"/>
        <v>0</v>
      </c>
      <c r="F49">
        <f t="shared" si="9"/>
        <v>0</v>
      </c>
      <c r="G49">
        <f t="shared" si="10"/>
        <v>0</v>
      </c>
      <c r="H49">
        <f t="shared" si="11"/>
        <v>0</v>
      </c>
      <c r="I49">
        <f t="shared" si="12"/>
        <v>0</v>
      </c>
      <c r="J49">
        <f t="shared" si="13"/>
        <v>0</v>
      </c>
      <c r="K49">
        <f t="shared" si="14"/>
        <v>1</v>
      </c>
      <c r="L49">
        <f t="shared" si="15"/>
        <v>0</v>
      </c>
      <c r="M49">
        <f t="shared" si="16"/>
        <v>0</v>
      </c>
      <c r="O49" s="2" t="s">
        <v>133</v>
      </c>
      <c r="P49" s="2">
        <v>19.333333333333321</v>
      </c>
      <c r="Q49" s="2">
        <v>13.290208035603863</v>
      </c>
      <c r="R49" s="2">
        <v>1.4547050942724298</v>
      </c>
      <c r="S49" s="2">
        <v>0.15870595406057597</v>
      </c>
      <c r="T49" s="2">
        <v>-8.0963079150867152</v>
      </c>
      <c r="U49" s="2">
        <v>46.762974581753355</v>
      </c>
      <c r="V49" s="2">
        <v>-8.0963079150867152</v>
      </c>
      <c r="W49" s="2">
        <v>46.762974581753355</v>
      </c>
    </row>
    <row r="50" spans="1:23" x14ac:dyDescent="0.15">
      <c r="A50">
        <v>22</v>
      </c>
      <c r="B50">
        <v>24</v>
      </c>
      <c r="C50">
        <f t="shared" si="6"/>
        <v>0</v>
      </c>
      <c r="D50">
        <f t="shared" si="7"/>
        <v>0</v>
      </c>
      <c r="E50">
        <f t="shared" si="8"/>
        <v>0</v>
      </c>
      <c r="F50">
        <f t="shared" si="9"/>
        <v>0</v>
      </c>
      <c r="G50">
        <f t="shared" si="10"/>
        <v>0</v>
      </c>
      <c r="H50">
        <f t="shared" si="11"/>
        <v>0</v>
      </c>
      <c r="I50">
        <f t="shared" si="12"/>
        <v>0</v>
      </c>
      <c r="J50">
        <f t="shared" si="13"/>
        <v>0</v>
      </c>
      <c r="K50">
        <f t="shared" si="14"/>
        <v>0</v>
      </c>
      <c r="L50">
        <f t="shared" si="15"/>
        <v>1</v>
      </c>
      <c r="M50">
        <f t="shared" si="16"/>
        <v>0</v>
      </c>
      <c r="O50" s="2" t="s">
        <v>134</v>
      </c>
      <c r="P50" s="2">
        <v>26.333333333333329</v>
      </c>
      <c r="Q50" s="2">
        <v>13.290208035603866</v>
      </c>
      <c r="R50" s="2">
        <v>1.9814086628883099</v>
      </c>
      <c r="S50" s="2">
        <v>5.9113081849080019E-2</v>
      </c>
      <c r="T50" s="2">
        <v>-1.0963079150867152</v>
      </c>
      <c r="U50" s="2">
        <v>53.762974581753369</v>
      </c>
      <c r="V50" s="2">
        <v>-1.0963079150867152</v>
      </c>
      <c r="W50" s="2">
        <v>53.762974581753369</v>
      </c>
    </row>
    <row r="51" spans="1:23" x14ac:dyDescent="0.15">
      <c r="A51">
        <v>23</v>
      </c>
      <c r="B51">
        <v>8</v>
      </c>
      <c r="C51">
        <f t="shared" si="6"/>
        <v>0</v>
      </c>
      <c r="D51">
        <f t="shared" si="7"/>
        <v>0</v>
      </c>
      <c r="E51">
        <f t="shared" si="8"/>
        <v>0</v>
      </c>
      <c r="F51">
        <f t="shared" si="9"/>
        <v>0</v>
      </c>
      <c r="G51">
        <f t="shared" si="10"/>
        <v>0</v>
      </c>
      <c r="H51">
        <f t="shared" si="11"/>
        <v>0</v>
      </c>
      <c r="I51">
        <f t="shared" si="12"/>
        <v>0</v>
      </c>
      <c r="J51">
        <f t="shared" si="13"/>
        <v>0</v>
      </c>
      <c r="K51">
        <f t="shared" si="14"/>
        <v>0</v>
      </c>
      <c r="L51">
        <f t="shared" si="15"/>
        <v>0</v>
      </c>
      <c r="M51">
        <f t="shared" si="16"/>
        <v>1</v>
      </c>
      <c r="O51" s="2" t="s">
        <v>135</v>
      </c>
      <c r="P51" s="2">
        <v>32.6666666666667</v>
      </c>
      <c r="Q51" s="2">
        <v>13.290208035603872</v>
      </c>
      <c r="R51" s="2">
        <v>2.4579499868741079</v>
      </c>
      <c r="S51" s="2">
        <v>2.1575918684722983E-2</v>
      </c>
      <c r="T51" s="2">
        <v>5.2370254182466454</v>
      </c>
      <c r="U51" s="2">
        <v>60.096307915086754</v>
      </c>
      <c r="V51" s="2">
        <v>5.2370254182466454</v>
      </c>
      <c r="W51" s="2">
        <v>60.096307915086754</v>
      </c>
    </row>
    <row r="52" spans="1:23" x14ac:dyDescent="0.15">
      <c r="A52">
        <v>24</v>
      </c>
      <c r="B52">
        <v>2</v>
      </c>
      <c r="C52">
        <f t="shared" si="6"/>
        <v>0</v>
      </c>
      <c r="D52">
        <f t="shared" si="7"/>
        <v>0</v>
      </c>
      <c r="E52">
        <f t="shared" si="8"/>
        <v>0</v>
      </c>
      <c r="F52">
        <f t="shared" si="9"/>
        <v>0</v>
      </c>
      <c r="G52">
        <f t="shared" si="10"/>
        <v>0</v>
      </c>
      <c r="H52">
        <f t="shared" si="11"/>
        <v>0</v>
      </c>
      <c r="I52">
        <f t="shared" si="12"/>
        <v>0</v>
      </c>
      <c r="J52">
        <f t="shared" si="13"/>
        <v>0</v>
      </c>
      <c r="K52">
        <f t="shared" si="14"/>
        <v>0</v>
      </c>
      <c r="L52">
        <f t="shared" si="15"/>
        <v>0</v>
      </c>
      <c r="M52">
        <f t="shared" si="16"/>
        <v>0</v>
      </c>
      <c r="O52" s="2" t="s">
        <v>136</v>
      </c>
      <c r="P52" s="2">
        <v>60.000000000000014</v>
      </c>
      <c r="Q52" s="2">
        <v>13.290208035603866</v>
      </c>
      <c r="R52" s="2">
        <v>4.5146020167075438</v>
      </c>
      <c r="S52" s="2">
        <v>1.4270725400497447E-4</v>
      </c>
      <c r="T52" s="2">
        <v>32.570358751579974</v>
      </c>
      <c r="U52" s="2">
        <v>87.429641248420054</v>
      </c>
      <c r="V52" s="2">
        <v>32.570358751579974</v>
      </c>
      <c r="W52" s="2">
        <v>87.429641248420054</v>
      </c>
    </row>
    <row r="53" spans="1:23" x14ac:dyDescent="0.15">
      <c r="A53">
        <v>25</v>
      </c>
      <c r="B53">
        <v>9</v>
      </c>
      <c r="C53">
        <f t="shared" si="6"/>
        <v>1</v>
      </c>
      <c r="D53">
        <f t="shared" si="7"/>
        <v>0</v>
      </c>
      <c r="E53">
        <f t="shared" si="8"/>
        <v>0</v>
      </c>
      <c r="F53">
        <f t="shared" si="9"/>
        <v>0</v>
      </c>
      <c r="G53">
        <f t="shared" si="10"/>
        <v>0</v>
      </c>
      <c r="H53">
        <f t="shared" si="11"/>
        <v>0</v>
      </c>
      <c r="I53">
        <f t="shared" si="12"/>
        <v>0</v>
      </c>
      <c r="J53">
        <f t="shared" si="13"/>
        <v>0</v>
      </c>
      <c r="K53">
        <f t="shared" si="14"/>
        <v>0</v>
      </c>
      <c r="L53">
        <f t="shared" si="15"/>
        <v>0</v>
      </c>
      <c r="M53">
        <f t="shared" si="16"/>
        <v>0</v>
      </c>
      <c r="O53" s="2" t="s">
        <v>137</v>
      </c>
      <c r="P53" s="2">
        <v>65.666666666666671</v>
      </c>
      <c r="Q53" s="2">
        <v>13.290208035603866</v>
      </c>
      <c r="R53" s="2">
        <v>4.940981096063255</v>
      </c>
      <c r="S53" s="2">
        <v>4.8278276209862302E-5</v>
      </c>
      <c r="T53" s="2">
        <v>38.237025418246631</v>
      </c>
      <c r="U53" s="2">
        <v>93.096307915086712</v>
      </c>
      <c r="V53" s="2">
        <v>38.237025418246631</v>
      </c>
      <c r="W53" s="2">
        <v>93.096307915086712</v>
      </c>
    </row>
    <row r="54" spans="1:23" x14ac:dyDescent="0.15">
      <c r="A54">
        <v>26</v>
      </c>
      <c r="B54">
        <v>15</v>
      </c>
      <c r="C54">
        <f t="shared" si="6"/>
        <v>0</v>
      </c>
      <c r="D54">
        <f t="shared" si="7"/>
        <v>1</v>
      </c>
      <c r="E54">
        <f t="shared" si="8"/>
        <v>0</v>
      </c>
      <c r="F54">
        <f t="shared" si="9"/>
        <v>0</v>
      </c>
      <c r="G54">
        <f t="shared" si="10"/>
        <v>0</v>
      </c>
      <c r="H54">
        <f t="shared" si="11"/>
        <v>0</v>
      </c>
      <c r="I54">
        <f t="shared" si="12"/>
        <v>0</v>
      </c>
      <c r="J54">
        <f t="shared" si="13"/>
        <v>0</v>
      </c>
      <c r="K54">
        <f t="shared" si="14"/>
        <v>0</v>
      </c>
      <c r="L54">
        <f t="shared" si="15"/>
        <v>0</v>
      </c>
      <c r="M54">
        <f t="shared" si="16"/>
        <v>0</v>
      </c>
      <c r="O54" s="2" t="s">
        <v>138</v>
      </c>
      <c r="P54" s="2">
        <v>51.666666666666686</v>
      </c>
      <c r="Q54" s="2">
        <v>13.290208035603873</v>
      </c>
      <c r="R54" s="2">
        <v>3.8875739588314944</v>
      </c>
      <c r="S54" s="2">
        <v>6.9969413562560943E-4</v>
      </c>
      <c r="T54" s="2">
        <v>24.237025418246628</v>
      </c>
      <c r="U54" s="2">
        <v>79.09630791508674</v>
      </c>
      <c r="V54" s="2">
        <v>24.237025418246628</v>
      </c>
      <c r="W54" s="2">
        <v>79.09630791508674</v>
      </c>
    </row>
    <row r="55" spans="1:23" x14ac:dyDescent="0.15">
      <c r="A55">
        <v>27</v>
      </c>
      <c r="B55">
        <v>31</v>
      </c>
      <c r="C55">
        <f t="shared" si="6"/>
        <v>0</v>
      </c>
      <c r="D55">
        <f t="shared" si="7"/>
        <v>0</v>
      </c>
      <c r="E55">
        <f t="shared" si="8"/>
        <v>1</v>
      </c>
      <c r="F55">
        <f t="shared" si="9"/>
        <v>0</v>
      </c>
      <c r="G55">
        <f t="shared" si="10"/>
        <v>0</v>
      </c>
      <c r="H55">
        <f t="shared" si="11"/>
        <v>0</v>
      </c>
      <c r="I55">
        <f t="shared" si="12"/>
        <v>0</v>
      </c>
      <c r="J55">
        <f t="shared" si="13"/>
        <v>0</v>
      </c>
      <c r="K55">
        <f t="shared" si="14"/>
        <v>0</v>
      </c>
      <c r="L55">
        <f t="shared" si="15"/>
        <v>0</v>
      </c>
      <c r="M55">
        <f t="shared" si="16"/>
        <v>0</v>
      </c>
      <c r="O55" s="2" t="s">
        <v>139</v>
      </c>
      <c r="P55" s="2">
        <v>23.666666666666675</v>
      </c>
      <c r="Q55" s="2">
        <v>13.290208035603866</v>
      </c>
      <c r="R55" s="2">
        <v>1.7807596843679756</v>
      </c>
      <c r="S55" s="2">
        <v>8.7615021950764177E-2</v>
      </c>
      <c r="T55" s="2">
        <v>-3.7629745817533689</v>
      </c>
      <c r="U55" s="2">
        <v>51.096307915086719</v>
      </c>
      <c r="V55" s="2">
        <v>-3.7629745817533689</v>
      </c>
      <c r="W55" s="2">
        <v>51.096307915086719</v>
      </c>
    </row>
    <row r="56" spans="1:23" ht="14.25" thickBot="1" x14ac:dyDescent="0.2">
      <c r="A56">
        <v>28</v>
      </c>
      <c r="B56">
        <v>37</v>
      </c>
      <c r="C56">
        <f t="shared" si="6"/>
        <v>0</v>
      </c>
      <c r="D56">
        <f t="shared" si="7"/>
        <v>0</v>
      </c>
      <c r="E56">
        <f t="shared" si="8"/>
        <v>0</v>
      </c>
      <c r="F56">
        <f t="shared" si="9"/>
        <v>1</v>
      </c>
      <c r="G56">
        <f t="shared" si="10"/>
        <v>0</v>
      </c>
      <c r="H56">
        <f t="shared" si="11"/>
        <v>0</v>
      </c>
      <c r="I56">
        <f t="shared" si="12"/>
        <v>0</v>
      </c>
      <c r="J56">
        <f t="shared" si="13"/>
        <v>0</v>
      </c>
      <c r="K56">
        <f t="shared" si="14"/>
        <v>0</v>
      </c>
      <c r="L56">
        <f t="shared" si="15"/>
        <v>0</v>
      </c>
      <c r="M56">
        <f t="shared" si="16"/>
        <v>0</v>
      </c>
      <c r="O56" s="3" t="s">
        <v>140</v>
      </c>
      <c r="P56" s="3">
        <v>5.6666666666666785</v>
      </c>
      <c r="Q56" s="3">
        <v>13.290208035603866</v>
      </c>
      <c r="R56" s="3">
        <v>0.42637907935571323</v>
      </c>
      <c r="S56" s="3">
        <v>0.673631721365616</v>
      </c>
      <c r="T56" s="3">
        <v>-21.762974581753365</v>
      </c>
      <c r="U56" s="3">
        <v>33.096307915086726</v>
      </c>
      <c r="V56" s="3">
        <v>-21.762974581753365</v>
      </c>
      <c r="W56" s="3">
        <v>33.096307915086726</v>
      </c>
    </row>
    <row r="57" spans="1:23" x14ac:dyDescent="0.15">
      <c r="A57">
        <v>29</v>
      </c>
      <c r="B57">
        <v>42</v>
      </c>
      <c r="C57">
        <f t="shared" si="6"/>
        <v>0</v>
      </c>
      <c r="D57">
        <f t="shared" si="7"/>
        <v>0</v>
      </c>
      <c r="E57">
        <f t="shared" si="8"/>
        <v>0</v>
      </c>
      <c r="F57">
        <f t="shared" si="9"/>
        <v>0</v>
      </c>
      <c r="G57">
        <f t="shared" si="10"/>
        <v>1</v>
      </c>
      <c r="H57">
        <f t="shared" si="11"/>
        <v>0</v>
      </c>
      <c r="I57">
        <f t="shared" si="12"/>
        <v>0</v>
      </c>
      <c r="J57">
        <f t="shared" si="13"/>
        <v>0</v>
      </c>
      <c r="K57">
        <f t="shared" si="14"/>
        <v>0</v>
      </c>
      <c r="L57">
        <f t="shared" si="15"/>
        <v>0</v>
      </c>
      <c r="M57">
        <f t="shared" si="16"/>
        <v>0</v>
      </c>
    </row>
    <row r="58" spans="1:23" x14ac:dyDescent="0.15">
      <c r="A58">
        <v>30</v>
      </c>
      <c r="B58">
        <v>51</v>
      </c>
      <c r="C58">
        <f t="shared" si="6"/>
        <v>0</v>
      </c>
      <c r="D58">
        <f t="shared" si="7"/>
        <v>0</v>
      </c>
      <c r="E58">
        <f t="shared" si="8"/>
        <v>0</v>
      </c>
      <c r="F58">
        <f t="shared" si="9"/>
        <v>0</v>
      </c>
      <c r="G58">
        <f t="shared" si="10"/>
        <v>0</v>
      </c>
      <c r="H58">
        <f t="shared" si="11"/>
        <v>1</v>
      </c>
      <c r="I58">
        <f t="shared" si="12"/>
        <v>0</v>
      </c>
      <c r="J58">
        <f t="shared" si="13"/>
        <v>0</v>
      </c>
      <c r="K58">
        <f t="shared" si="14"/>
        <v>0</v>
      </c>
      <c r="L58">
        <f t="shared" si="15"/>
        <v>0</v>
      </c>
      <c r="M58">
        <f t="shared" si="16"/>
        <v>0</v>
      </c>
    </row>
    <row r="59" spans="1:23" x14ac:dyDescent="0.15">
      <c r="A59">
        <v>31</v>
      </c>
      <c r="B59">
        <v>90</v>
      </c>
      <c r="C59">
        <f t="shared" si="6"/>
        <v>0</v>
      </c>
      <c r="D59">
        <f t="shared" si="7"/>
        <v>0</v>
      </c>
      <c r="E59">
        <f t="shared" si="8"/>
        <v>0</v>
      </c>
      <c r="F59">
        <f t="shared" si="9"/>
        <v>0</v>
      </c>
      <c r="G59">
        <f t="shared" si="10"/>
        <v>0</v>
      </c>
      <c r="H59">
        <f t="shared" si="11"/>
        <v>0</v>
      </c>
      <c r="I59">
        <f t="shared" si="12"/>
        <v>1</v>
      </c>
      <c r="J59">
        <f t="shared" si="13"/>
        <v>0</v>
      </c>
      <c r="K59">
        <f t="shared" si="14"/>
        <v>0</v>
      </c>
      <c r="L59">
        <f t="shared" si="15"/>
        <v>0</v>
      </c>
      <c r="M59">
        <f t="shared" si="16"/>
        <v>0</v>
      </c>
    </row>
    <row r="60" spans="1:23" x14ac:dyDescent="0.15">
      <c r="A60">
        <v>32</v>
      </c>
      <c r="B60">
        <v>98</v>
      </c>
      <c r="C60">
        <f t="shared" si="6"/>
        <v>0</v>
      </c>
      <c r="D60">
        <f t="shared" si="7"/>
        <v>0</v>
      </c>
      <c r="E60">
        <f t="shared" si="8"/>
        <v>0</v>
      </c>
      <c r="F60">
        <f t="shared" si="9"/>
        <v>0</v>
      </c>
      <c r="G60">
        <f t="shared" si="10"/>
        <v>0</v>
      </c>
      <c r="H60">
        <f t="shared" si="11"/>
        <v>0</v>
      </c>
      <c r="I60">
        <f t="shared" si="12"/>
        <v>0</v>
      </c>
      <c r="J60">
        <f t="shared" si="13"/>
        <v>1</v>
      </c>
      <c r="K60">
        <f t="shared" si="14"/>
        <v>0</v>
      </c>
      <c r="L60">
        <f t="shared" si="15"/>
        <v>0</v>
      </c>
      <c r="M60">
        <f t="shared" si="16"/>
        <v>0</v>
      </c>
    </row>
    <row r="61" spans="1:23" x14ac:dyDescent="0.15">
      <c r="A61">
        <v>33</v>
      </c>
      <c r="B61">
        <v>80</v>
      </c>
      <c r="C61">
        <f t="shared" si="6"/>
        <v>0</v>
      </c>
      <c r="D61">
        <f t="shared" si="7"/>
        <v>0</v>
      </c>
      <c r="E61">
        <f t="shared" si="8"/>
        <v>0</v>
      </c>
      <c r="F61">
        <f t="shared" si="9"/>
        <v>0</v>
      </c>
      <c r="G61">
        <f t="shared" si="10"/>
        <v>0</v>
      </c>
      <c r="H61">
        <f t="shared" si="11"/>
        <v>0</v>
      </c>
      <c r="I61">
        <f t="shared" si="12"/>
        <v>0</v>
      </c>
      <c r="J61">
        <f t="shared" si="13"/>
        <v>0</v>
      </c>
      <c r="K61">
        <f t="shared" si="14"/>
        <v>1</v>
      </c>
      <c r="L61">
        <f t="shared" si="15"/>
        <v>0</v>
      </c>
      <c r="M61">
        <f t="shared" si="16"/>
        <v>0</v>
      </c>
    </row>
    <row r="62" spans="1:23" x14ac:dyDescent="0.15">
      <c r="A62">
        <v>34</v>
      </c>
      <c r="B62">
        <v>40</v>
      </c>
      <c r="C62">
        <f t="shared" si="6"/>
        <v>0</v>
      </c>
      <c r="D62">
        <f t="shared" si="7"/>
        <v>0</v>
      </c>
      <c r="E62">
        <f t="shared" si="8"/>
        <v>0</v>
      </c>
      <c r="F62">
        <f t="shared" si="9"/>
        <v>0</v>
      </c>
      <c r="G62">
        <f t="shared" si="10"/>
        <v>0</v>
      </c>
      <c r="H62">
        <f t="shared" si="11"/>
        <v>0</v>
      </c>
      <c r="I62">
        <f t="shared" si="12"/>
        <v>0</v>
      </c>
      <c r="J62">
        <f t="shared" si="13"/>
        <v>0</v>
      </c>
      <c r="K62">
        <f t="shared" si="14"/>
        <v>0</v>
      </c>
      <c r="L62">
        <f t="shared" si="15"/>
        <v>1</v>
      </c>
      <c r="M62">
        <f t="shared" si="16"/>
        <v>0</v>
      </c>
    </row>
    <row r="63" spans="1:23" x14ac:dyDescent="0.15">
      <c r="A63">
        <v>35</v>
      </c>
      <c r="B63">
        <v>11</v>
      </c>
      <c r="C63">
        <f t="shared" si="6"/>
        <v>0</v>
      </c>
      <c r="D63">
        <f t="shared" si="7"/>
        <v>0</v>
      </c>
      <c r="E63">
        <f t="shared" si="8"/>
        <v>0</v>
      </c>
      <c r="F63">
        <f t="shared" si="9"/>
        <v>0</v>
      </c>
      <c r="G63">
        <f t="shared" si="10"/>
        <v>0</v>
      </c>
      <c r="H63">
        <f t="shared" si="11"/>
        <v>0</v>
      </c>
      <c r="I63">
        <f t="shared" si="12"/>
        <v>0</v>
      </c>
      <c r="J63">
        <f t="shared" si="13"/>
        <v>0</v>
      </c>
      <c r="K63">
        <f t="shared" si="14"/>
        <v>0</v>
      </c>
      <c r="L63">
        <f t="shared" si="15"/>
        <v>0</v>
      </c>
      <c r="M63">
        <f t="shared" si="16"/>
        <v>1</v>
      </c>
    </row>
    <row r="64" spans="1:23" x14ac:dyDescent="0.15">
      <c r="A64">
        <v>36</v>
      </c>
      <c r="B64">
        <v>4</v>
      </c>
      <c r="C64">
        <f t="shared" si="6"/>
        <v>0</v>
      </c>
      <c r="D64">
        <f t="shared" si="7"/>
        <v>0</v>
      </c>
      <c r="E64">
        <f t="shared" si="8"/>
        <v>0</v>
      </c>
      <c r="F64">
        <f t="shared" si="9"/>
        <v>0</v>
      </c>
      <c r="G64">
        <f t="shared" si="10"/>
        <v>0</v>
      </c>
      <c r="H64">
        <f t="shared" si="11"/>
        <v>0</v>
      </c>
      <c r="I64">
        <f t="shared" si="12"/>
        <v>0</v>
      </c>
      <c r="J64">
        <f t="shared" si="13"/>
        <v>0</v>
      </c>
      <c r="K64">
        <f t="shared" si="14"/>
        <v>0</v>
      </c>
      <c r="L64">
        <f t="shared" si="15"/>
        <v>0</v>
      </c>
      <c r="M64">
        <f t="shared" si="16"/>
        <v>0</v>
      </c>
    </row>
  </sheetData>
  <mergeCells count="2">
    <mergeCell ref="A1:E1"/>
    <mergeCell ref="A4:A15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0"/>
  <sheetViews>
    <sheetView workbookViewId="0">
      <selection activeCell="E2" sqref="E2"/>
    </sheetView>
  </sheetViews>
  <sheetFormatPr defaultRowHeight="13.5" x14ac:dyDescent="0.15"/>
  <sheetData>
    <row r="1" spans="1:3" x14ac:dyDescent="0.15">
      <c r="A1" s="16" t="s">
        <v>88</v>
      </c>
      <c r="B1" s="16"/>
    </row>
    <row r="2" spans="1:3" x14ac:dyDescent="0.15">
      <c r="A2" t="s">
        <v>86</v>
      </c>
      <c r="B2" t="s">
        <v>87</v>
      </c>
    </row>
    <row r="3" spans="1:3" x14ac:dyDescent="0.15">
      <c r="A3">
        <v>1</v>
      </c>
      <c r="B3">
        <v>86</v>
      </c>
      <c r="C3">
        <f>IF(B3&lt;100,1,IF(B3&gt;150,3,2))</f>
        <v>1</v>
      </c>
    </row>
    <row r="4" spans="1:3" x14ac:dyDescent="0.15">
      <c r="A4">
        <v>2</v>
      </c>
      <c r="B4">
        <v>110</v>
      </c>
      <c r="C4">
        <f t="shared" ref="C4:C26" si="0">IF(B4&lt;100,1,IF(B4&gt;150,3,2))</f>
        <v>2</v>
      </c>
    </row>
    <row r="5" spans="1:3" x14ac:dyDescent="0.15">
      <c r="A5">
        <v>3</v>
      </c>
      <c r="B5">
        <v>130</v>
      </c>
      <c r="C5">
        <f t="shared" si="0"/>
        <v>2</v>
      </c>
    </row>
    <row r="6" spans="1:3" x14ac:dyDescent="0.15">
      <c r="A6">
        <v>4</v>
      </c>
      <c r="B6">
        <v>160</v>
      </c>
      <c r="C6">
        <f t="shared" si="0"/>
        <v>3</v>
      </c>
    </row>
    <row r="7" spans="1:3" x14ac:dyDescent="0.15">
      <c r="A7">
        <v>5</v>
      </c>
      <c r="B7">
        <v>150</v>
      </c>
      <c r="C7">
        <f t="shared" si="0"/>
        <v>2</v>
      </c>
    </row>
    <row r="8" spans="1:3" x14ac:dyDescent="0.15">
      <c r="A8">
        <v>6</v>
      </c>
      <c r="B8">
        <v>130</v>
      </c>
      <c r="C8">
        <f t="shared" si="0"/>
        <v>2</v>
      </c>
    </row>
    <row r="9" spans="1:3" x14ac:dyDescent="0.15">
      <c r="A9">
        <v>7</v>
      </c>
      <c r="B9">
        <v>50</v>
      </c>
      <c r="C9">
        <f t="shared" si="0"/>
        <v>1</v>
      </c>
    </row>
    <row r="10" spans="1:3" x14ac:dyDescent="0.15">
      <c r="A10">
        <v>8</v>
      </c>
      <c r="B10">
        <v>70</v>
      </c>
      <c r="C10">
        <f t="shared" si="0"/>
        <v>1</v>
      </c>
    </row>
    <row r="11" spans="1:3" x14ac:dyDescent="0.15">
      <c r="A11">
        <v>9</v>
      </c>
      <c r="B11">
        <v>140</v>
      </c>
      <c r="C11">
        <f t="shared" si="0"/>
        <v>2</v>
      </c>
    </row>
    <row r="12" spans="1:3" x14ac:dyDescent="0.15">
      <c r="A12">
        <v>10</v>
      </c>
      <c r="B12">
        <v>120</v>
      </c>
      <c r="C12">
        <f t="shared" si="0"/>
        <v>2</v>
      </c>
    </row>
    <row r="13" spans="1:3" x14ac:dyDescent="0.15">
      <c r="A13">
        <v>11</v>
      </c>
      <c r="B13">
        <v>150</v>
      </c>
      <c r="C13">
        <f t="shared" si="0"/>
        <v>2</v>
      </c>
    </row>
    <row r="14" spans="1:3" x14ac:dyDescent="0.15">
      <c r="A14">
        <v>12</v>
      </c>
      <c r="B14">
        <v>140</v>
      </c>
      <c r="C14">
        <f t="shared" si="0"/>
        <v>2</v>
      </c>
    </row>
    <row r="15" spans="1:3" x14ac:dyDescent="0.15">
      <c r="A15">
        <v>13</v>
      </c>
      <c r="B15">
        <v>68</v>
      </c>
      <c r="C15">
        <f t="shared" si="0"/>
        <v>1</v>
      </c>
    </row>
    <row r="16" spans="1:3" x14ac:dyDescent="0.15">
      <c r="A16">
        <v>14</v>
      </c>
      <c r="B16">
        <v>55</v>
      </c>
      <c r="C16">
        <f t="shared" si="0"/>
        <v>1</v>
      </c>
    </row>
    <row r="17" spans="1:3" x14ac:dyDescent="0.15">
      <c r="A17">
        <v>15</v>
      </c>
      <c r="B17">
        <v>112</v>
      </c>
      <c r="C17">
        <f t="shared" si="0"/>
        <v>2</v>
      </c>
    </row>
    <row r="18" spans="1:3" x14ac:dyDescent="0.15">
      <c r="A18">
        <v>16</v>
      </c>
      <c r="B18">
        <v>86</v>
      </c>
      <c r="C18">
        <f t="shared" si="0"/>
        <v>1</v>
      </c>
    </row>
    <row r="19" spans="1:3" x14ac:dyDescent="0.15">
      <c r="A19">
        <v>17</v>
      </c>
      <c r="B19">
        <v>110</v>
      </c>
      <c r="C19">
        <f t="shared" si="0"/>
        <v>2</v>
      </c>
    </row>
    <row r="20" spans="1:3" x14ac:dyDescent="0.15">
      <c r="A20">
        <v>18</v>
      </c>
      <c r="B20">
        <v>160</v>
      </c>
      <c r="C20">
        <f t="shared" si="0"/>
        <v>3</v>
      </c>
    </row>
    <row r="21" spans="1:3" x14ac:dyDescent="0.15">
      <c r="A21">
        <v>19</v>
      </c>
      <c r="B21">
        <v>180</v>
      </c>
      <c r="C21">
        <f t="shared" si="0"/>
        <v>3</v>
      </c>
    </row>
    <row r="22" spans="1:3" x14ac:dyDescent="0.15">
      <c r="A22">
        <v>20</v>
      </c>
      <c r="B22">
        <v>130</v>
      </c>
      <c r="C22">
        <f t="shared" si="0"/>
        <v>2</v>
      </c>
    </row>
    <row r="23" spans="1:3" x14ac:dyDescent="0.15">
      <c r="A23">
        <v>21</v>
      </c>
      <c r="B23">
        <v>170</v>
      </c>
      <c r="C23">
        <f t="shared" si="0"/>
        <v>3</v>
      </c>
    </row>
    <row r="24" spans="1:3" x14ac:dyDescent="0.15">
      <c r="A24">
        <v>22</v>
      </c>
      <c r="B24">
        <v>80</v>
      </c>
      <c r="C24">
        <f t="shared" si="0"/>
        <v>1</v>
      </c>
    </row>
    <row r="25" spans="1:3" x14ac:dyDescent="0.15">
      <c r="A25">
        <v>23</v>
      </c>
      <c r="B25">
        <v>110</v>
      </c>
      <c r="C25">
        <f t="shared" si="0"/>
        <v>2</v>
      </c>
    </row>
    <row r="26" spans="1:3" x14ac:dyDescent="0.15">
      <c r="A26">
        <v>24</v>
      </c>
      <c r="B26">
        <v>90</v>
      </c>
      <c r="C26">
        <f t="shared" si="0"/>
        <v>1</v>
      </c>
    </row>
    <row r="28" spans="1:3" x14ac:dyDescent="0.15">
      <c r="B28">
        <v>1</v>
      </c>
      <c r="C28">
        <f>COUNTIF(C$3:C$26,1)</f>
        <v>8</v>
      </c>
    </row>
    <row r="29" spans="1:3" x14ac:dyDescent="0.15">
      <c r="B29">
        <v>2</v>
      </c>
      <c r="C29">
        <f>COUNTIF(C$3:C$26,2)</f>
        <v>12</v>
      </c>
    </row>
    <row r="30" spans="1:3" x14ac:dyDescent="0.15">
      <c r="B30">
        <v>3</v>
      </c>
      <c r="C30">
        <f>COUNTIF(C$3:C$26,3)</f>
        <v>4</v>
      </c>
    </row>
  </sheetData>
  <mergeCells count="1">
    <mergeCell ref="A1:B1"/>
  </mergeCells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7"/>
  <sheetViews>
    <sheetView tabSelected="1" workbookViewId="0">
      <selection activeCell="P17" sqref="P17"/>
    </sheetView>
  </sheetViews>
  <sheetFormatPr defaultRowHeight="13.5" x14ac:dyDescent="0.15"/>
  <sheetData>
    <row r="1" spans="1:18" x14ac:dyDescent="0.15">
      <c r="A1" s="16" t="s">
        <v>88</v>
      </c>
      <c r="B1" s="16"/>
    </row>
    <row r="2" spans="1:18" x14ac:dyDescent="0.15">
      <c r="A2" t="s">
        <v>86</v>
      </c>
      <c r="B2" t="s">
        <v>87</v>
      </c>
      <c r="C2" t="s">
        <v>89</v>
      </c>
      <c r="D2" t="s">
        <v>90</v>
      </c>
      <c r="E2" t="s">
        <v>91</v>
      </c>
      <c r="F2" t="s">
        <v>92</v>
      </c>
      <c r="G2" t="s">
        <v>93</v>
      </c>
      <c r="H2" t="s">
        <v>94</v>
      </c>
      <c r="I2" t="s">
        <v>95</v>
      </c>
      <c r="J2" t="s">
        <v>96</v>
      </c>
      <c r="K2" t="s">
        <v>97</v>
      </c>
      <c r="L2" t="s">
        <v>98</v>
      </c>
      <c r="O2">
        <v>1</v>
      </c>
      <c r="P2">
        <v>2</v>
      </c>
      <c r="Q2">
        <v>3</v>
      </c>
      <c r="R2" t="s">
        <v>99</v>
      </c>
    </row>
    <row r="3" spans="1:18" x14ac:dyDescent="0.15">
      <c r="A3">
        <v>1</v>
      </c>
      <c r="B3">
        <v>86</v>
      </c>
      <c r="C3">
        <f>IF(B3&lt;100,1,IF(B3&gt;150,3,2))</f>
        <v>1</v>
      </c>
      <c r="D3">
        <f ca="1">IF(AND(OFFSET(C3,-1,0)=1,C3=1),1,0)</f>
        <v>0</v>
      </c>
      <c r="E3">
        <f ca="1">IF(AND(OFFSET(C3,-1,0)=1,C3=2),1,0)</f>
        <v>0</v>
      </c>
      <c r="F3">
        <f ca="1">IF(AND(OFFSET(C3,-1,0)=1,C3=3),1,0)</f>
        <v>0</v>
      </c>
      <c r="G3">
        <f ca="1">IF(AND(OFFSET(C3,-1,0)=2,C3=1),1,0)</f>
        <v>0</v>
      </c>
      <c r="H3">
        <f ca="1">IF(AND(OFFSET(C3,-1,0)=2,C3=2),1,0)</f>
        <v>0</v>
      </c>
      <c r="I3">
        <f ca="1">IF(AND(OFFSET(C3,-1,0)=2,C3=3),1,0)</f>
        <v>0</v>
      </c>
      <c r="J3">
        <f ca="1">IF(AND(OFFSET(C3,-1,0)=3,C3=1),1,0)</f>
        <v>0</v>
      </c>
      <c r="K3">
        <f ca="1">IF(AND(OFFSET(C3,-1,0)=3,C3=2),1,0)</f>
        <v>0</v>
      </c>
      <c r="L3">
        <f ca="1">IF(AND(OFFSET(C3,-1,0)=3,C3=3),1,0)</f>
        <v>0</v>
      </c>
      <c r="N3">
        <v>1</v>
      </c>
      <c r="O3">
        <v>2</v>
      </c>
      <c r="P3">
        <v>5</v>
      </c>
      <c r="Q3">
        <v>0</v>
      </c>
      <c r="R3">
        <f>SUM(O3:Q3)</f>
        <v>7</v>
      </c>
    </row>
    <row r="4" spans="1:18" x14ac:dyDescent="0.15">
      <c r="A4">
        <v>2</v>
      </c>
      <c r="B4">
        <v>110</v>
      </c>
      <c r="C4">
        <f t="shared" ref="C4:C26" si="0">IF(B4&lt;100,1,IF(B4&gt;150,3,2))</f>
        <v>2</v>
      </c>
      <c r="D4">
        <f t="shared" ref="D4:D26" ca="1" si="1">IF(AND(OFFSET(C4,-1,0)=1,C4=1),1,0)</f>
        <v>0</v>
      </c>
      <c r="E4">
        <f t="shared" ref="E4:E26" ca="1" si="2">IF(AND(OFFSET(C4,-1,0)=1,C4=2),1,0)</f>
        <v>1</v>
      </c>
      <c r="F4">
        <f t="shared" ref="F4:F26" ca="1" si="3">IF(AND(OFFSET(C4,-1,0)=1,C4=3),1,0)</f>
        <v>0</v>
      </c>
      <c r="G4">
        <f t="shared" ref="G4:G26" ca="1" si="4">IF(AND(OFFSET(C4,-1,0)=2,C4=1),1,0)</f>
        <v>0</v>
      </c>
      <c r="H4">
        <f t="shared" ref="H4:H26" ca="1" si="5">IF(AND(OFFSET(C4,-1,0)=2,C4=2),1,0)</f>
        <v>0</v>
      </c>
      <c r="I4">
        <f t="shared" ref="I4:I26" ca="1" si="6">IF(AND(OFFSET(C4,-1,0)=2,C4=3),1,0)</f>
        <v>0</v>
      </c>
      <c r="J4">
        <f t="shared" ref="J4:J26" ca="1" si="7">IF(AND(OFFSET(C4,-1,0)=3,C4=1),1,0)</f>
        <v>0</v>
      </c>
      <c r="K4">
        <f t="shared" ref="K4:K26" ca="1" si="8">IF(AND(OFFSET(C4,-1,0)=3,C4=2),1,0)</f>
        <v>0</v>
      </c>
      <c r="L4">
        <f t="shared" ref="L4:L26" ca="1" si="9">IF(AND(OFFSET(C4,-1,0)=3,C4=3),1,0)</f>
        <v>0</v>
      </c>
      <c r="N4">
        <v>2</v>
      </c>
      <c r="O4">
        <v>4</v>
      </c>
      <c r="P4">
        <v>5</v>
      </c>
      <c r="Q4">
        <v>3</v>
      </c>
      <c r="R4">
        <f>SUM(O4:Q4)</f>
        <v>12</v>
      </c>
    </row>
    <row r="5" spans="1:18" x14ac:dyDescent="0.15">
      <c r="A5">
        <v>3</v>
      </c>
      <c r="B5">
        <v>130</v>
      </c>
      <c r="C5">
        <f t="shared" si="0"/>
        <v>2</v>
      </c>
      <c r="D5">
        <f t="shared" ca="1" si="1"/>
        <v>0</v>
      </c>
      <c r="E5">
        <f t="shared" ca="1" si="2"/>
        <v>0</v>
      </c>
      <c r="F5">
        <f t="shared" ca="1" si="3"/>
        <v>0</v>
      </c>
      <c r="G5">
        <f t="shared" ca="1" si="4"/>
        <v>0</v>
      </c>
      <c r="H5">
        <f t="shared" ca="1" si="5"/>
        <v>1</v>
      </c>
      <c r="I5">
        <f t="shared" ca="1" si="6"/>
        <v>0</v>
      </c>
      <c r="J5">
        <f t="shared" ca="1" si="7"/>
        <v>0</v>
      </c>
      <c r="K5">
        <f t="shared" ca="1" si="8"/>
        <v>0</v>
      </c>
      <c r="L5">
        <f t="shared" ca="1" si="9"/>
        <v>0</v>
      </c>
      <c r="N5">
        <v>3</v>
      </c>
      <c r="O5">
        <v>1</v>
      </c>
      <c r="P5">
        <v>2</v>
      </c>
      <c r="Q5">
        <v>1</v>
      </c>
      <c r="R5">
        <f>SUM(O5:Q5)</f>
        <v>4</v>
      </c>
    </row>
    <row r="6" spans="1:18" x14ac:dyDescent="0.15">
      <c r="A6">
        <v>4</v>
      </c>
      <c r="B6">
        <v>160</v>
      </c>
      <c r="C6">
        <f t="shared" si="0"/>
        <v>3</v>
      </c>
      <c r="D6">
        <f t="shared" ca="1" si="1"/>
        <v>0</v>
      </c>
      <c r="E6">
        <f t="shared" ca="1" si="2"/>
        <v>0</v>
      </c>
      <c r="F6">
        <f t="shared" ca="1" si="3"/>
        <v>0</v>
      </c>
      <c r="G6">
        <f t="shared" ca="1" si="4"/>
        <v>0</v>
      </c>
      <c r="H6">
        <f t="shared" ca="1" si="5"/>
        <v>0</v>
      </c>
      <c r="I6">
        <f t="shared" ca="1" si="6"/>
        <v>1</v>
      </c>
      <c r="J6">
        <f t="shared" ca="1" si="7"/>
        <v>0</v>
      </c>
      <c r="K6">
        <f t="shared" ca="1" si="8"/>
        <v>0</v>
      </c>
      <c r="L6">
        <f t="shared" ca="1" si="9"/>
        <v>0</v>
      </c>
    </row>
    <row r="7" spans="1:18" x14ac:dyDescent="0.15">
      <c r="A7">
        <v>5</v>
      </c>
      <c r="B7">
        <v>150</v>
      </c>
      <c r="C7">
        <f t="shared" si="0"/>
        <v>2</v>
      </c>
      <c r="D7">
        <f t="shared" ca="1" si="1"/>
        <v>0</v>
      </c>
      <c r="E7">
        <f t="shared" ca="1" si="2"/>
        <v>0</v>
      </c>
      <c r="F7">
        <f t="shared" ca="1" si="3"/>
        <v>0</v>
      </c>
      <c r="G7">
        <f t="shared" ca="1" si="4"/>
        <v>0</v>
      </c>
      <c r="H7">
        <f t="shared" ca="1" si="5"/>
        <v>0</v>
      </c>
      <c r="I7">
        <f t="shared" ca="1" si="6"/>
        <v>0</v>
      </c>
      <c r="J7">
        <f t="shared" ca="1" si="7"/>
        <v>0</v>
      </c>
      <c r="K7">
        <f t="shared" ca="1" si="8"/>
        <v>1</v>
      </c>
      <c r="L7">
        <f t="shared" ca="1" si="9"/>
        <v>0</v>
      </c>
      <c r="N7" t="s">
        <v>100</v>
      </c>
    </row>
    <row r="8" spans="1:18" x14ac:dyDescent="0.15">
      <c r="A8">
        <v>6</v>
      </c>
      <c r="B8">
        <v>130</v>
      </c>
      <c r="C8">
        <f t="shared" si="0"/>
        <v>2</v>
      </c>
      <c r="D8">
        <f t="shared" ca="1" si="1"/>
        <v>0</v>
      </c>
      <c r="E8">
        <f t="shared" ca="1" si="2"/>
        <v>0</v>
      </c>
      <c r="F8">
        <f t="shared" ca="1" si="3"/>
        <v>0</v>
      </c>
      <c r="G8">
        <f t="shared" ca="1" si="4"/>
        <v>0</v>
      </c>
      <c r="H8">
        <f t="shared" ca="1" si="5"/>
        <v>1</v>
      </c>
      <c r="I8">
        <f t="shared" ca="1" si="6"/>
        <v>0</v>
      </c>
      <c r="J8">
        <f t="shared" ca="1" si="7"/>
        <v>0</v>
      </c>
      <c r="K8">
        <f t="shared" ca="1" si="8"/>
        <v>0</v>
      </c>
      <c r="L8">
        <f t="shared" ca="1" si="9"/>
        <v>0</v>
      </c>
      <c r="O8">
        <v>1</v>
      </c>
      <c r="P8">
        <v>2</v>
      </c>
      <c r="Q8">
        <v>3</v>
      </c>
    </row>
    <row r="9" spans="1:18" x14ac:dyDescent="0.15">
      <c r="A9">
        <v>7</v>
      </c>
      <c r="B9">
        <v>50</v>
      </c>
      <c r="C9">
        <f t="shared" si="0"/>
        <v>1</v>
      </c>
      <c r="D9">
        <f t="shared" ca="1" si="1"/>
        <v>0</v>
      </c>
      <c r="E9">
        <f t="shared" ca="1" si="2"/>
        <v>0</v>
      </c>
      <c r="F9">
        <f t="shared" ca="1" si="3"/>
        <v>0</v>
      </c>
      <c r="G9">
        <f t="shared" ca="1" si="4"/>
        <v>1</v>
      </c>
      <c r="H9">
        <f t="shared" ca="1" si="5"/>
        <v>0</v>
      </c>
      <c r="I9">
        <f t="shared" ca="1" si="6"/>
        <v>0</v>
      </c>
      <c r="J9">
        <f t="shared" ca="1" si="7"/>
        <v>0</v>
      </c>
      <c r="K9">
        <f t="shared" ca="1" si="8"/>
        <v>0</v>
      </c>
      <c r="L9">
        <f t="shared" ca="1" si="9"/>
        <v>0</v>
      </c>
      <c r="N9">
        <v>1</v>
      </c>
      <c r="O9" s="13">
        <f t="shared" ref="O9:Q11" si="10">O3/$R3</f>
        <v>0.2857142857142857</v>
      </c>
      <c r="P9" s="13">
        <f t="shared" si="10"/>
        <v>0.7142857142857143</v>
      </c>
      <c r="Q9" s="13">
        <f t="shared" si="10"/>
        <v>0</v>
      </c>
    </row>
    <row r="10" spans="1:18" x14ac:dyDescent="0.15">
      <c r="A10">
        <v>8</v>
      </c>
      <c r="B10">
        <v>70</v>
      </c>
      <c r="C10">
        <f t="shared" si="0"/>
        <v>1</v>
      </c>
      <c r="D10">
        <f t="shared" ca="1" si="1"/>
        <v>1</v>
      </c>
      <c r="E10">
        <f t="shared" ca="1" si="2"/>
        <v>0</v>
      </c>
      <c r="F10">
        <f t="shared" ca="1" si="3"/>
        <v>0</v>
      </c>
      <c r="G10">
        <f t="shared" ca="1" si="4"/>
        <v>0</v>
      </c>
      <c r="H10">
        <f t="shared" ca="1" si="5"/>
        <v>0</v>
      </c>
      <c r="I10">
        <f t="shared" ca="1" si="6"/>
        <v>0</v>
      </c>
      <c r="J10">
        <f t="shared" ca="1" si="7"/>
        <v>0</v>
      </c>
      <c r="K10">
        <f t="shared" ca="1" si="8"/>
        <v>0</v>
      </c>
      <c r="L10">
        <f t="shared" ca="1" si="9"/>
        <v>0</v>
      </c>
      <c r="N10">
        <v>2</v>
      </c>
      <c r="O10" s="13">
        <f t="shared" si="10"/>
        <v>0.33333333333333331</v>
      </c>
      <c r="P10" s="13">
        <f t="shared" si="10"/>
        <v>0.41666666666666669</v>
      </c>
      <c r="Q10" s="13">
        <f t="shared" si="10"/>
        <v>0.25</v>
      </c>
    </row>
    <row r="11" spans="1:18" x14ac:dyDescent="0.15">
      <c r="A11">
        <v>9</v>
      </c>
      <c r="B11">
        <v>140</v>
      </c>
      <c r="C11">
        <f t="shared" si="0"/>
        <v>2</v>
      </c>
      <c r="D11">
        <f t="shared" ca="1" si="1"/>
        <v>0</v>
      </c>
      <c r="E11">
        <f t="shared" ca="1" si="2"/>
        <v>1</v>
      </c>
      <c r="F11">
        <f t="shared" ca="1" si="3"/>
        <v>0</v>
      </c>
      <c r="G11">
        <f t="shared" ca="1" si="4"/>
        <v>0</v>
      </c>
      <c r="H11">
        <f t="shared" ca="1" si="5"/>
        <v>0</v>
      </c>
      <c r="I11">
        <f t="shared" ca="1" si="6"/>
        <v>0</v>
      </c>
      <c r="J11">
        <f t="shared" ca="1" si="7"/>
        <v>0</v>
      </c>
      <c r="K11">
        <f t="shared" ca="1" si="8"/>
        <v>0</v>
      </c>
      <c r="L11">
        <f t="shared" ca="1" si="9"/>
        <v>0</v>
      </c>
      <c r="N11">
        <v>3</v>
      </c>
      <c r="O11" s="13">
        <f t="shared" si="10"/>
        <v>0.25</v>
      </c>
      <c r="P11" s="13">
        <f t="shared" si="10"/>
        <v>0.5</v>
      </c>
      <c r="Q11" s="13">
        <f t="shared" si="10"/>
        <v>0.25</v>
      </c>
    </row>
    <row r="12" spans="1:18" x14ac:dyDescent="0.15">
      <c r="A12">
        <v>10</v>
      </c>
      <c r="B12">
        <v>120</v>
      </c>
      <c r="C12">
        <f t="shared" si="0"/>
        <v>2</v>
      </c>
      <c r="D12">
        <f t="shared" ca="1" si="1"/>
        <v>0</v>
      </c>
      <c r="E12">
        <f t="shared" ca="1" si="2"/>
        <v>0</v>
      </c>
      <c r="F12">
        <f t="shared" ca="1" si="3"/>
        <v>0</v>
      </c>
      <c r="G12">
        <f t="shared" ca="1" si="4"/>
        <v>0</v>
      </c>
      <c r="H12">
        <f t="shared" ca="1" si="5"/>
        <v>1</v>
      </c>
      <c r="I12">
        <f t="shared" ca="1" si="6"/>
        <v>0</v>
      </c>
      <c r="J12">
        <f t="shared" ca="1" si="7"/>
        <v>0</v>
      </c>
      <c r="K12">
        <f t="shared" ca="1" si="8"/>
        <v>0</v>
      </c>
      <c r="L12">
        <f t="shared" ca="1" si="9"/>
        <v>0</v>
      </c>
    </row>
    <row r="13" spans="1:18" x14ac:dyDescent="0.15">
      <c r="A13">
        <v>11</v>
      </c>
      <c r="B13">
        <v>150</v>
      </c>
      <c r="C13">
        <f t="shared" si="0"/>
        <v>2</v>
      </c>
      <c r="D13">
        <f t="shared" ca="1" si="1"/>
        <v>0</v>
      </c>
      <c r="E13">
        <f t="shared" ca="1" si="2"/>
        <v>0</v>
      </c>
      <c r="F13">
        <f t="shared" ca="1" si="3"/>
        <v>0</v>
      </c>
      <c r="G13">
        <f t="shared" ca="1" si="4"/>
        <v>0</v>
      </c>
      <c r="H13">
        <f t="shared" ca="1" si="5"/>
        <v>1</v>
      </c>
      <c r="I13">
        <f t="shared" ca="1" si="6"/>
        <v>0</v>
      </c>
      <c r="J13">
        <f t="shared" ca="1" si="7"/>
        <v>0</v>
      </c>
      <c r="K13">
        <f t="shared" ca="1" si="8"/>
        <v>0</v>
      </c>
      <c r="L13">
        <f t="shared" ca="1" si="9"/>
        <v>0</v>
      </c>
    </row>
    <row r="14" spans="1:18" x14ac:dyDescent="0.15">
      <c r="A14">
        <v>12</v>
      </c>
      <c r="B14">
        <v>140</v>
      </c>
      <c r="C14">
        <f t="shared" si="0"/>
        <v>2</v>
      </c>
      <c r="D14">
        <f t="shared" ca="1" si="1"/>
        <v>0</v>
      </c>
      <c r="E14">
        <f t="shared" ca="1" si="2"/>
        <v>0</v>
      </c>
      <c r="F14">
        <f t="shared" ca="1" si="3"/>
        <v>0</v>
      </c>
      <c r="G14">
        <f t="shared" ca="1" si="4"/>
        <v>0</v>
      </c>
      <c r="H14">
        <f t="shared" ca="1" si="5"/>
        <v>1</v>
      </c>
      <c r="I14">
        <f t="shared" ca="1" si="6"/>
        <v>0</v>
      </c>
      <c r="J14">
        <f t="shared" ca="1" si="7"/>
        <v>0</v>
      </c>
      <c r="K14">
        <f t="shared" ca="1" si="8"/>
        <v>0</v>
      </c>
      <c r="L14">
        <f t="shared" ca="1" si="9"/>
        <v>0</v>
      </c>
      <c r="N14" t="s">
        <v>101</v>
      </c>
    </row>
    <row r="15" spans="1:18" x14ac:dyDescent="0.15">
      <c r="A15">
        <v>13</v>
      </c>
      <c r="B15">
        <v>68</v>
      </c>
      <c r="C15">
        <f t="shared" si="0"/>
        <v>1</v>
      </c>
      <c r="D15">
        <f t="shared" ca="1" si="1"/>
        <v>0</v>
      </c>
      <c r="E15">
        <f t="shared" ca="1" si="2"/>
        <v>0</v>
      </c>
      <c r="F15">
        <f t="shared" ca="1" si="3"/>
        <v>0</v>
      </c>
      <c r="G15">
        <f t="shared" ca="1" si="4"/>
        <v>1</v>
      </c>
      <c r="H15">
        <f t="shared" ca="1" si="5"/>
        <v>0</v>
      </c>
      <c r="I15">
        <f t="shared" ca="1" si="6"/>
        <v>0</v>
      </c>
      <c r="J15">
        <f t="shared" ca="1" si="7"/>
        <v>0</v>
      </c>
      <c r="K15">
        <f t="shared" ca="1" si="8"/>
        <v>0</v>
      </c>
      <c r="L15">
        <f t="shared" ca="1" si="9"/>
        <v>0</v>
      </c>
      <c r="O15">
        <v>1</v>
      </c>
      <c r="P15">
        <v>2</v>
      </c>
      <c r="Q15">
        <v>3</v>
      </c>
    </row>
    <row r="16" spans="1:18" x14ac:dyDescent="0.15">
      <c r="A16">
        <v>14</v>
      </c>
      <c r="B16">
        <v>55</v>
      </c>
      <c r="C16">
        <f t="shared" si="0"/>
        <v>1</v>
      </c>
      <c r="D16">
        <f t="shared" ca="1" si="1"/>
        <v>1</v>
      </c>
      <c r="E16">
        <f t="shared" ca="1" si="2"/>
        <v>0</v>
      </c>
      <c r="F16">
        <f t="shared" ca="1" si="3"/>
        <v>0</v>
      </c>
      <c r="G16">
        <f t="shared" ca="1" si="4"/>
        <v>0</v>
      </c>
      <c r="H16">
        <f t="shared" ca="1" si="5"/>
        <v>0</v>
      </c>
      <c r="I16">
        <f t="shared" ca="1" si="6"/>
        <v>0</v>
      </c>
      <c r="J16">
        <f t="shared" ca="1" si="7"/>
        <v>0</v>
      </c>
      <c r="K16">
        <f t="shared" ca="1" si="8"/>
        <v>0</v>
      </c>
      <c r="L16">
        <f t="shared" ca="1" si="9"/>
        <v>0</v>
      </c>
      <c r="N16">
        <v>1</v>
      </c>
      <c r="O16">
        <f t="array" ref="O16:Q18">mmultn(O9:Q11,3)</f>
        <v>0.30322724327826367</v>
      </c>
      <c r="P16">
        <v>0.52670472951085201</v>
      </c>
      <c r="Q16">
        <v>0.17006802721088438</v>
      </c>
    </row>
    <row r="17" spans="1:17" x14ac:dyDescent="0.15">
      <c r="A17">
        <v>15</v>
      </c>
      <c r="B17">
        <v>112</v>
      </c>
      <c r="C17">
        <f t="shared" si="0"/>
        <v>2</v>
      </c>
      <c r="D17">
        <f t="shared" ca="1" si="1"/>
        <v>0</v>
      </c>
      <c r="E17">
        <f t="shared" ca="1" si="2"/>
        <v>1</v>
      </c>
      <c r="F17">
        <f t="shared" ca="1" si="3"/>
        <v>0</v>
      </c>
      <c r="G17">
        <f t="shared" ca="1" si="4"/>
        <v>0</v>
      </c>
      <c r="H17">
        <f t="shared" ca="1" si="5"/>
        <v>0</v>
      </c>
      <c r="I17">
        <f t="shared" ca="1" si="6"/>
        <v>0</v>
      </c>
      <c r="J17">
        <f t="shared" ca="1" si="7"/>
        <v>0</v>
      </c>
      <c r="K17">
        <f t="shared" ca="1" si="8"/>
        <v>0</v>
      </c>
      <c r="L17">
        <f t="shared" ca="1" si="9"/>
        <v>0</v>
      </c>
      <c r="N17">
        <v>2</v>
      </c>
      <c r="O17">
        <v>0.30531934996220711</v>
      </c>
      <c r="P17">
        <v>0.51883739606953894</v>
      </c>
      <c r="Q17">
        <v>0.17584325396825395</v>
      </c>
    </row>
    <row r="18" spans="1:17" x14ac:dyDescent="0.15">
      <c r="A18">
        <v>16</v>
      </c>
      <c r="B18">
        <v>86</v>
      </c>
      <c r="C18">
        <f t="shared" si="0"/>
        <v>1</v>
      </c>
      <c r="D18">
        <f t="shared" ca="1" si="1"/>
        <v>0</v>
      </c>
      <c r="E18">
        <f t="shared" ca="1" si="2"/>
        <v>0</v>
      </c>
      <c r="F18">
        <f t="shared" ca="1" si="3"/>
        <v>0</v>
      </c>
      <c r="G18">
        <f t="shared" ca="1" si="4"/>
        <v>1</v>
      </c>
      <c r="H18">
        <f t="shared" ca="1" si="5"/>
        <v>0</v>
      </c>
      <c r="I18">
        <f t="shared" ca="1" si="6"/>
        <v>0</v>
      </c>
      <c r="J18">
        <f t="shared" ca="1" si="7"/>
        <v>0</v>
      </c>
      <c r="K18">
        <f t="shared" ca="1" si="8"/>
        <v>0</v>
      </c>
      <c r="L18">
        <f t="shared" ca="1" si="9"/>
        <v>0</v>
      </c>
      <c r="N18">
        <v>3</v>
      </c>
      <c r="O18">
        <v>0.30339427437641719</v>
      </c>
      <c r="P18">
        <v>0.52175453514739223</v>
      </c>
      <c r="Q18">
        <v>0.17485119047619047</v>
      </c>
    </row>
    <row r="19" spans="1:17" x14ac:dyDescent="0.15">
      <c r="A19">
        <v>17</v>
      </c>
      <c r="B19">
        <v>110</v>
      </c>
      <c r="C19">
        <f t="shared" si="0"/>
        <v>2</v>
      </c>
      <c r="D19">
        <f t="shared" ca="1" si="1"/>
        <v>0</v>
      </c>
      <c r="E19">
        <f t="shared" ca="1" si="2"/>
        <v>1</v>
      </c>
      <c r="F19">
        <f t="shared" ca="1" si="3"/>
        <v>0</v>
      </c>
      <c r="G19">
        <f t="shared" ca="1" si="4"/>
        <v>0</v>
      </c>
      <c r="H19">
        <f t="shared" ca="1" si="5"/>
        <v>0</v>
      </c>
      <c r="I19">
        <f t="shared" ca="1" si="6"/>
        <v>0</v>
      </c>
      <c r="J19">
        <f t="shared" ca="1" si="7"/>
        <v>0</v>
      </c>
      <c r="K19">
        <f t="shared" ca="1" si="8"/>
        <v>0</v>
      </c>
      <c r="L19">
        <f t="shared" ca="1" si="9"/>
        <v>0</v>
      </c>
    </row>
    <row r="20" spans="1:17" x14ac:dyDescent="0.15">
      <c r="A20">
        <v>18</v>
      </c>
      <c r="B20">
        <v>160</v>
      </c>
      <c r="C20">
        <f t="shared" si="0"/>
        <v>3</v>
      </c>
      <c r="D20">
        <f t="shared" ca="1" si="1"/>
        <v>0</v>
      </c>
      <c r="E20">
        <f t="shared" ca="1" si="2"/>
        <v>0</v>
      </c>
      <c r="F20">
        <f t="shared" ca="1" si="3"/>
        <v>0</v>
      </c>
      <c r="G20">
        <f t="shared" ca="1" si="4"/>
        <v>0</v>
      </c>
      <c r="H20">
        <f t="shared" ca="1" si="5"/>
        <v>0</v>
      </c>
      <c r="I20">
        <f t="shared" ca="1" si="6"/>
        <v>1</v>
      </c>
      <c r="J20">
        <f t="shared" ca="1" si="7"/>
        <v>0</v>
      </c>
      <c r="K20">
        <f t="shared" ca="1" si="8"/>
        <v>0</v>
      </c>
      <c r="L20">
        <f t="shared" ca="1" si="9"/>
        <v>0</v>
      </c>
    </row>
    <row r="21" spans="1:17" x14ac:dyDescent="0.15">
      <c r="A21">
        <v>19</v>
      </c>
      <c r="B21">
        <v>180</v>
      </c>
      <c r="C21">
        <f t="shared" si="0"/>
        <v>3</v>
      </c>
      <c r="D21">
        <f t="shared" ca="1" si="1"/>
        <v>0</v>
      </c>
      <c r="E21">
        <f t="shared" ca="1" si="2"/>
        <v>0</v>
      </c>
      <c r="F21">
        <f t="shared" ca="1" si="3"/>
        <v>0</v>
      </c>
      <c r="G21">
        <f t="shared" ca="1" si="4"/>
        <v>0</v>
      </c>
      <c r="H21">
        <f t="shared" ca="1" si="5"/>
        <v>0</v>
      </c>
      <c r="I21">
        <f t="shared" ca="1" si="6"/>
        <v>0</v>
      </c>
      <c r="J21">
        <f t="shared" ca="1" si="7"/>
        <v>0</v>
      </c>
      <c r="K21">
        <f t="shared" ca="1" si="8"/>
        <v>0</v>
      </c>
      <c r="L21">
        <f t="shared" ca="1" si="9"/>
        <v>1</v>
      </c>
    </row>
    <row r="22" spans="1:17" x14ac:dyDescent="0.15">
      <c r="A22">
        <v>20</v>
      </c>
      <c r="B22">
        <v>130</v>
      </c>
      <c r="C22">
        <f t="shared" si="0"/>
        <v>2</v>
      </c>
      <c r="D22">
        <f t="shared" ca="1" si="1"/>
        <v>0</v>
      </c>
      <c r="E22">
        <f t="shared" ca="1" si="2"/>
        <v>0</v>
      </c>
      <c r="F22">
        <f t="shared" ca="1" si="3"/>
        <v>0</v>
      </c>
      <c r="G22">
        <f t="shared" ca="1" si="4"/>
        <v>0</v>
      </c>
      <c r="H22">
        <f t="shared" ca="1" si="5"/>
        <v>0</v>
      </c>
      <c r="I22">
        <f t="shared" ca="1" si="6"/>
        <v>0</v>
      </c>
      <c r="J22">
        <f t="shared" ca="1" si="7"/>
        <v>0</v>
      </c>
      <c r="K22">
        <f t="shared" ca="1" si="8"/>
        <v>1</v>
      </c>
      <c r="L22">
        <f t="shared" ca="1" si="9"/>
        <v>0</v>
      </c>
    </row>
    <row r="23" spans="1:17" x14ac:dyDescent="0.15">
      <c r="A23">
        <v>21</v>
      </c>
      <c r="B23">
        <v>170</v>
      </c>
      <c r="C23">
        <f t="shared" si="0"/>
        <v>3</v>
      </c>
      <c r="D23">
        <f t="shared" ca="1" si="1"/>
        <v>0</v>
      </c>
      <c r="E23">
        <f t="shared" ca="1" si="2"/>
        <v>0</v>
      </c>
      <c r="F23">
        <f t="shared" ca="1" si="3"/>
        <v>0</v>
      </c>
      <c r="G23">
        <f t="shared" ca="1" si="4"/>
        <v>0</v>
      </c>
      <c r="H23">
        <f t="shared" ca="1" si="5"/>
        <v>0</v>
      </c>
      <c r="I23">
        <f t="shared" ca="1" si="6"/>
        <v>1</v>
      </c>
      <c r="J23">
        <f t="shared" ca="1" si="7"/>
        <v>0</v>
      </c>
      <c r="K23">
        <f t="shared" ca="1" si="8"/>
        <v>0</v>
      </c>
      <c r="L23">
        <f t="shared" ca="1" si="9"/>
        <v>0</v>
      </c>
    </row>
    <row r="24" spans="1:17" x14ac:dyDescent="0.15">
      <c r="A24">
        <v>22</v>
      </c>
      <c r="B24">
        <v>80</v>
      </c>
      <c r="C24">
        <f t="shared" si="0"/>
        <v>1</v>
      </c>
      <c r="D24">
        <f t="shared" ca="1" si="1"/>
        <v>0</v>
      </c>
      <c r="E24">
        <f t="shared" ca="1" si="2"/>
        <v>0</v>
      </c>
      <c r="F24">
        <f t="shared" ca="1" si="3"/>
        <v>0</v>
      </c>
      <c r="G24">
        <f t="shared" ca="1" si="4"/>
        <v>0</v>
      </c>
      <c r="H24">
        <f t="shared" ca="1" si="5"/>
        <v>0</v>
      </c>
      <c r="I24">
        <f t="shared" ca="1" si="6"/>
        <v>0</v>
      </c>
      <c r="J24">
        <f t="shared" ca="1" si="7"/>
        <v>1</v>
      </c>
      <c r="K24">
        <f t="shared" ca="1" si="8"/>
        <v>0</v>
      </c>
      <c r="L24">
        <f t="shared" ca="1" si="9"/>
        <v>0</v>
      </c>
    </row>
    <row r="25" spans="1:17" x14ac:dyDescent="0.15">
      <c r="A25">
        <v>23</v>
      </c>
      <c r="B25">
        <v>110</v>
      </c>
      <c r="C25">
        <f t="shared" si="0"/>
        <v>2</v>
      </c>
      <c r="D25">
        <f t="shared" ca="1" si="1"/>
        <v>0</v>
      </c>
      <c r="E25">
        <f t="shared" ca="1" si="2"/>
        <v>1</v>
      </c>
      <c r="F25">
        <f t="shared" ca="1" si="3"/>
        <v>0</v>
      </c>
      <c r="G25">
        <f t="shared" ca="1" si="4"/>
        <v>0</v>
      </c>
      <c r="H25">
        <f t="shared" ca="1" si="5"/>
        <v>0</v>
      </c>
      <c r="I25">
        <f t="shared" ca="1" si="6"/>
        <v>0</v>
      </c>
      <c r="J25">
        <f t="shared" ca="1" si="7"/>
        <v>0</v>
      </c>
      <c r="K25">
        <f t="shared" ca="1" si="8"/>
        <v>0</v>
      </c>
      <c r="L25">
        <f t="shared" ca="1" si="9"/>
        <v>0</v>
      </c>
    </row>
    <row r="26" spans="1:17" x14ac:dyDescent="0.15">
      <c r="A26">
        <v>24</v>
      </c>
      <c r="B26">
        <v>90</v>
      </c>
      <c r="C26">
        <f t="shared" si="0"/>
        <v>1</v>
      </c>
      <c r="D26">
        <f t="shared" ca="1" si="1"/>
        <v>0</v>
      </c>
      <c r="E26">
        <f t="shared" ca="1" si="2"/>
        <v>0</v>
      </c>
      <c r="F26">
        <f t="shared" ca="1" si="3"/>
        <v>0</v>
      </c>
      <c r="G26">
        <f t="shared" ca="1" si="4"/>
        <v>1</v>
      </c>
      <c r="H26">
        <f t="shared" ca="1" si="5"/>
        <v>0</v>
      </c>
      <c r="I26">
        <f t="shared" ca="1" si="6"/>
        <v>0</v>
      </c>
      <c r="J26">
        <f t="shared" ca="1" si="7"/>
        <v>0</v>
      </c>
      <c r="K26">
        <f t="shared" ca="1" si="8"/>
        <v>0</v>
      </c>
      <c r="L26">
        <f t="shared" ca="1" si="9"/>
        <v>0</v>
      </c>
    </row>
    <row r="27" spans="1:17" x14ac:dyDescent="0.15">
      <c r="D27">
        <f ca="1">SUM(D3:D26)</f>
        <v>2</v>
      </c>
      <c r="E27">
        <f t="shared" ref="E27:L27" ca="1" si="11">SUM(E3:E26)</f>
        <v>5</v>
      </c>
      <c r="F27">
        <f t="shared" ca="1" si="11"/>
        <v>0</v>
      </c>
      <c r="G27">
        <f t="shared" ca="1" si="11"/>
        <v>4</v>
      </c>
      <c r="H27">
        <f t="shared" ca="1" si="11"/>
        <v>5</v>
      </c>
      <c r="I27">
        <f t="shared" ca="1" si="11"/>
        <v>3</v>
      </c>
      <c r="J27">
        <f t="shared" ca="1" si="11"/>
        <v>1</v>
      </c>
      <c r="K27">
        <f t="shared" ca="1" si="11"/>
        <v>2</v>
      </c>
      <c r="L27">
        <f t="shared" ca="1" si="11"/>
        <v>1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一元线性回归</vt:lpstr>
      <vt:lpstr>多元线性回归</vt:lpstr>
      <vt:lpstr>非线性回归</vt:lpstr>
      <vt:lpstr>移动平均法</vt:lpstr>
      <vt:lpstr>指数平滑</vt:lpstr>
      <vt:lpstr>季节变动</vt:lpstr>
      <vt:lpstr>马尔可夫链</vt:lpstr>
      <vt:lpstr>马尔可夫链(完成)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2015-03-03T07:08:51Z</dcterms:created>
  <dcterms:modified xsi:type="dcterms:W3CDTF">2015-03-05T07:30:43Z</dcterms:modified>
</cp:coreProperties>
</file>